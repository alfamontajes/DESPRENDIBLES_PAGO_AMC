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1925" documentId="11_9248B46DC1CBB2E3ED7FF6F9903E8C1851038383" xr6:coauthVersionLast="47" xr6:coauthVersionMax="47" xr10:uidLastSave="{39C304AE-0E00-4842-86D5-1D028640FB67}"/>
  <bookViews>
    <workbookView xWindow="240" yWindow="105" windowWidth="14805" windowHeight="8010" firstSheet="8" activeTab="7" xr2:uid="{00000000-000D-0000-FFFF-FFFF00000000}"/>
  </bookViews>
  <sheets>
    <sheet name="ENE 01 AL 15" sheetId="1" r:id="rId1"/>
    <sheet name="ENE 16 AL 31" sheetId="3" r:id="rId2"/>
    <sheet name="FEB 1 AL 15" sheetId="4" r:id="rId3"/>
    <sheet name="NVO HORARIO FEB 16 AL 28" sheetId="5" r:id="rId4"/>
    <sheet name="MAR 01 AL 15" sheetId="6" r:id="rId5"/>
    <sheet name="MAR 16 AL 31" sheetId="7" r:id="rId6"/>
    <sheet name="ABR 01 AL 15" sheetId="8" r:id="rId7"/>
    <sheet name="ABR 16 AL 30" sheetId="9" r:id="rId8"/>
    <sheet name="Hoja2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H9" i="2"/>
  <c r="U21" i="9"/>
  <c r="S22" i="9"/>
  <c r="AE12" i="9"/>
  <c r="AB23" i="9"/>
  <c r="AA23" i="9"/>
  <c r="J23" i="9"/>
  <c r="O22" i="9"/>
  <c r="M22" i="9"/>
  <c r="K21" i="9"/>
  <c r="I21" i="9"/>
  <c r="D21" i="9"/>
  <c r="F21" i="9" s="1"/>
  <c r="K20" i="9"/>
  <c r="I20" i="9"/>
  <c r="D20" i="9"/>
  <c r="F20" i="9" s="1"/>
  <c r="K19" i="9"/>
  <c r="I19" i="9"/>
  <c r="D19" i="9"/>
  <c r="F19" i="9" s="1"/>
  <c r="K18" i="9"/>
  <c r="I18" i="9"/>
  <c r="D18" i="9"/>
  <c r="F18" i="9" s="1"/>
  <c r="K17" i="9"/>
  <c r="I17" i="9"/>
  <c r="D17" i="9"/>
  <c r="F17" i="9" s="1"/>
  <c r="K16" i="9"/>
  <c r="I16" i="9"/>
  <c r="D16" i="9"/>
  <c r="F16" i="9" s="1"/>
  <c r="K15" i="9"/>
  <c r="I15" i="9"/>
  <c r="D15" i="9"/>
  <c r="F15" i="9" s="1"/>
  <c r="E14" i="9"/>
  <c r="E13" i="9"/>
  <c r="K12" i="9"/>
  <c r="I12" i="9"/>
  <c r="D12" i="9"/>
  <c r="F12" i="9" s="1"/>
  <c r="K11" i="9"/>
  <c r="I11" i="9"/>
  <c r="D11" i="9"/>
  <c r="F11" i="9" s="1"/>
  <c r="K10" i="9"/>
  <c r="I10" i="9"/>
  <c r="D10" i="9"/>
  <c r="F10" i="9" s="1"/>
  <c r="K9" i="9"/>
  <c r="F9" i="9"/>
  <c r="H9" i="9" s="1"/>
  <c r="E9" i="9"/>
  <c r="K8" i="9"/>
  <c r="I8" i="9"/>
  <c r="D8" i="9"/>
  <c r="F8" i="9" s="1"/>
  <c r="K7" i="9"/>
  <c r="K23" i="9" s="1"/>
  <c r="I7" i="9"/>
  <c r="I23" i="9" s="1"/>
  <c r="D7" i="9"/>
  <c r="F7" i="9" s="1"/>
  <c r="H6" i="9"/>
  <c r="E6" i="9"/>
  <c r="H5" i="9"/>
  <c r="E5" i="9"/>
  <c r="AC23" i="8"/>
  <c r="K11" i="5"/>
  <c r="K8" i="6"/>
  <c r="K9" i="6"/>
  <c r="K10" i="6"/>
  <c r="K11" i="6"/>
  <c r="K12" i="6"/>
  <c r="K13" i="6"/>
  <c r="K14" i="6"/>
  <c r="K15" i="6"/>
  <c r="K7" i="6"/>
  <c r="AE13" i="8"/>
  <c r="AB24" i="8"/>
  <c r="J24" i="8"/>
  <c r="O23" i="8"/>
  <c r="M23" i="8"/>
  <c r="K22" i="8"/>
  <c r="I22" i="8"/>
  <c r="D22" i="8"/>
  <c r="F22" i="8" s="1"/>
  <c r="K21" i="8"/>
  <c r="I21" i="8"/>
  <c r="D21" i="8"/>
  <c r="F21" i="8" s="1"/>
  <c r="K20" i="8"/>
  <c r="I20" i="8"/>
  <c r="D20" i="8"/>
  <c r="F20" i="8" s="1"/>
  <c r="K19" i="8"/>
  <c r="I19" i="8"/>
  <c r="D19" i="8"/>
  <c r="F19" i="8" s="1"/>
  <c r="K18" i="8"/>
  <c r="I18" i="8"/>
  <c r="D18" i="8"/>
  <c r="F18" i="8" s="1"/>
  <c r="K17" i="8"/>
  <c r="I17" i="8"/>
  <c r="D17" i="8"/>
  <c r="F17" i="8" s="1"/>
  <c r="K16" i="8"/>
  <c r="I16" i="8"/>
  <c r="D16" i="8"/>
  <c r="F16" i="8" s="1"/>
  <c r="E15" i="8"/>
  <c r="E14" i="8"/>
  <c r="K13" i="8"/>
  <c r="I13" i="8"/>
  <c r="D13" i="8"/>
  <c r="F13" i="8" s="1"/>
  <c r="K12" i="8"/>
  <c r="I12" i="8"/>
  <c r="D12" i="8"/>
  <c r="F12" i="8" s="1"/>
  <c r="K11" i="8"/>
  <c r="I11" i="8"/>
  <c r="D11" i="8"/>
  <c r="F11" i="8" s="1"/>
  <c r="K10" i="8"/>
  <c r="I10" i="8"/>
  <c r="D10" i="8"/>
  <c r="F10" i="8" s="1"/>
  <c r="K9" i="8"/>
  <c r="F9" i="8"/>
  <c r="H9" i="8" s="1"/>
  <c r="E9" i="8"/>
  <c r="K8" i="8"/>
  <c r="I8" i="8"/>
  <c r="D8" i="8"/>
  <c r="F8" i="8" s="1"/>
  <c r="AA24" i="8"/>
  <c r="K7" i="8"/>
  <c r="K24" i="8" s="1"/>
  <c r="I7" i="8"/>
  <c r="I24" i="8" s="1"/>
  <c r="D7" i="8"/>
  <c r="F7" i="8" s="1"/>
  <c r="H6" i="8"/>
  <c r="E6" i="8"/>
  <c r="H5" i="8"/>
  <c r="E5" i="8"/>
  <c r="AE14" i="7"/>
  <c r="K11" i="7"/>
  <c r="I13" i="7"/>
  <c r="AA7" i="7"/>
  <c r="AC8" i="7"/>
  <c r="Z8" i="7"/>
  <c r="Z17" i="7"/>
  <c r="Q10" i="7"/>
  <c r="E12" i="7"/>
  <c r="AB14" i="7"/>
  <c r="AE6" i="7"/>
  <c r="AB25" i="7"/>
  <c r="AA25" i="7"/>
  <c r="J25" i="7"/>
  <c r="O24" i="7"/>
  <c r="M24" i="7"/>
  <c r="K23" i="7"/>
  <c r="I23" i="7"/>
  <c r="D23" i="7"/>
  <c r="F23" i="7" s="1"/>
  <c r="K22" i="7"/>
  <c r="I22" i="7"/>
  <c r="D22" i="7"/>
  <c r="F22" i="7" s="1"/>
  <c r="K21" i="7"/>
  <c r="I21" i="7"/>
  <c r="D21" i="7"/>
  <c r="F21" i="7" s="1"/>
  <c r="K20" i="7"/>
  <c r="I20" i="7"/>
  <c r="D20" i="7"/>
  <c r="F20" i="7" s="1"/>
  <c r="K19" i="7"/>
  <c r="I19" i="7"/>
  <c r="D19" i="7"/>
  <c r="F19" i="7" s="1"/>
  <c r="K18" i="7"/>
  <c r="I18" i="7"/>
  <c r="D18" i="7"/>
  <c r="F18" i="7" s="1"/>
  <c r="K17" i="7"/>
  <c r="I17" i="7"/>
  <c r="D17" i="7"/>
  <c r="F17" i="7" s="1"/>
  <c r="E16" i="7"/>
  <c r="E15" i="7"/>
  <c r="K14" i="7"/>
  <c r="I14" i="7"/>
  <c r="D14" i="7"/>
  <c r="F14" i="7" s="1"/>
  <c r="K13" i="7"/>
  <c r="D13" i="7"/>
  <c r="F13" i="7" s="1"/>
  <c r="K12" i="7"/>
  <c r="I12" i="7"/>
  <c r="D12" i="7"/>
  <c r="F12" i="7" s="1"/>
  <c r="I11" i="7"/>
  <c r="D11" i="7"/>
  <c r="F11" i="7" s="1"/>
  <c r="K10" i="7"/>
  <c r="I10" i="7"/>
  <c r="D10" i="7"/>
  <c r="F10" i="7" s="1"/>
  <c r="K9" i="7"/>
  <c r="F9" i="7"/>
  <c r="H9" i="7" s="1"/>
  <c r="E9" i="7"/>
  <c r="K8" i="7"/>
  <c r="I8" i="7"/>
  <c r="D8" i="7"/>
  <c r="F8" i="7" s="1"/>
  <c r="K7" i="7"/>
  <c r="K25" i="7" s="1"/>
  <c r="I7" i="7"/>
  <c r="I25" i="7" s="1"/>
  <c r="D7" i="7"/>
  <c r="F7" i="7" s="1"/>
  <c r="H6" i="7"/>
  <c r="E6" i="7"/>
  <c r="H5" i="7"/>
  <c r="E5" i="7"/>
  <c r="AG5" i="6"/>
  <c r="AC25" i="6"/>
  <c r="S8" i="6"/>
  <c r="Q8" i="6"/>
  <c r="Q16" i="6"/>
  <c r="H12" i="6"/>
  <c r="I12" i="6"/>
  <c r="M12" i="6"/>
  <c r="O12" i="6"/>
  <c r="Q12" i="6"/>
  <c r="S12" i="6"/>
  <c r="U12" i="6"/>
  <c r="W12" i="6"/>
  <c r="Y12" i="6"/>
  <c r="Z12" i="6"/>
  <c r="F12" i="6"/>
  <c r="E12" i="6" s="1"/>
  <c r="D12" i="6"/>
  <c r="D13" i="6"/>
  <c r="AE15" i="6"/>
  <c r="D10" i="6"/>
  <c r="D11" i="6"/>
  <c r="D7" i="6"/>
  <c r="D15" i="6"/>
  <c r="D8" i="6"/>
  <c r="AB26" i="6"/>
  <c r="O25" i="6"/>
  <c r="M25" i="6"/>
  <c r="K24" i="6"/>
  <c r="I24" i="6"/>
  <c r="D24" i="6"/>
  <c r="F24" i="6" s="1"/>
  <c r="K23" i="6"/>
  <c r="I23" i="6"/>
  <c r="D23" i="6"/>
  <c r="F23" i="6" s="1"/>
  <c r="K22" i="6"/>
  <c r="I22" i="6"/>
  <c r="D22" i="6"/>
  <c r="F22" i="6" s="1"/>
  <c r="K21" i="6"/>
  <c r="I21" i="6"/>
  <c r="D21" i="6"/>
  <c r="F21" i="6" s="1"/>
  <c r="K20" i="6"/>
  <c r="I20" i="6"/>
  <c r="D20" i="6"/>
  <c r="F20" i="6" s="1"/>
  <c r="K19" i="6"/>
  <c r="I19" i="6"/>
  <c r="D19" i="6"/>
  <c r="F19" i="6" s="1"/>
  <c r="K18" i="6"/>
  <c r="I18" i="6"/>
  <c r="D18" i="6"/>
  <c r="F18" i="6" s="1"/>
  <c r="E17" i="6"/>
  <c r="E16" i="6"/>
  <c r="I15" i="6"/>
  <c r="F15" i="6"/>
  <c r="I14" i="6"/>
  <c r="D14" i="6"/>
  <c r="F14" i="6" s="1"/>
  <c r="I13" i="6"/>
  <c r="F13" i="6"/>
  <c r="I11" i="6"/>
  <c r="F11" i="6"/>
  <c r="I10" i="6"/>
  <c r="F10" i="6"/>
  <c r="H10" i="6" s="1"/>
  <c r="F9" i="6"/>
  <c r="H9" i="6" s="1"/>
  <c r="E9" i="6"/>
  <c r="J26" i="6"/>
  <c r="I8" i="6"/>
  <c r="F8" i="6"/>
  <c r="K26" i="6"/>
  <c r="I7" i="6"/>
  <c r="I26" i="6" s="1"/>
  <c r="F7" i="6"/>
  <c r="AA26" i="6"/>
  <c r="H6" i="6"/>
  <c r="E6" i="6"/>
  <c r="H5" i="6"/>
  <c r="E5" i="6"/>
  <c r="K7" i="5"/>
  <c r="AA7" i="5"/>
  <c r="AE15" i="5"/>
  <c r="AA11" i="5"/>
  <c r="AA13" i="5"/>
  <c r="AA6" i="5"/>
  <c r="J9" i="5"/>
  <c r="K4" i="2"/>
  <c r="K3" i="2"/>
  <c r="O4" i="2"/>
  <c r="L4" i="2"/>
  <c r="O3" i="2"/>
  <c r="L3" i="2"/>
  <c r="AA26" i="5"/>
  <c r="J26" i="5"/>
  <c r="O25" i="5"/>
  <c r="M25" i="5"/>
  <c r="K24" i="5"/>
  <c r="I24" i="5"/>
  <c r="D24" i="5"/>
  <c r="F24" i="5" s="1"/>
  <c r="K23" i="5"/>
  <c r="I23" i="5"/>
  <c r="D23" i="5"/>
  <c r="F23" i="5" s="1"/>
  <c r="K22" i="5"/>
  <c r="I22" i="5"/>
  <c r="D22" i="5"/>
  <c r="F22" i="5" s="1"/>
  <c r="K21" i="5"/>
  <c r="I21" i="5"/>
  <c r="D21" i="5"/>
  <c r="F21" i="5" s="1"/>
  <c r="K20" i="5"/>
  <c r="I20" i="5"/>
  <c r="D20" i="5"/>
  <c r="F20" i="5" s="1"/>
  <c r="K19" i="5"/>
  <c r="I19" i="5"/>
  <c r="D19" i="5"/>
  <c r="F19" i="5" s="1"/>
  <c r="K15" i="5"/>
  <c r="I15" i="5"/>
  <c r="D15" i="5"/>
  <c r="F15" i="5" s="1"/>
  <c r="K18" i="5"/>
  <c r="I18" i="5"/>
  <c r="D18" i="5"/>
  <c r="F18" i="5" s="1"/>
  <c r="E17" i="5"/>
  <c r="E16" i="5"/>
  <c r="AB26" i="5"/>
  <c r="K14" i="5"/>
  <c r="I14" i="5"/>
  <c r="D14" i="5"/>
  <c r="F14" i="5" s="1"/>
  <c r="K13" i="5"/>
  <c r="I13" i="5"/>
  <c r="D13" i="5"/>
  <c r="F13" i="5" s="1"/>
  <c r="K12" i="5"/>
  <c r="I12" i="5"/>
  <c r="D12" i="5"/>
  <c r="F12" i="5" s="1"/>
  <c r="I11" i="5"/>
  <c r="D11" i="5"/>
  <c r="F11" i="5" s="1"/>
  <c r="K10" i="5"/>
  <c r="F10" i="5"/>
  <c r="H10" i="5" s="1"/>
  <c r="E10" i="5"/>
  <c r="K9" i="5"/>
  <c r="I9" i="5"/>
  <c r="D9" i="5"/>
  <c r="F9" i="5" s="1"/>
  <c r="K8" i="5"/>
  <c r="I8" i="5"/>
  <c r="D8" i="5"/>
  <c r="F8" i="5" s="1"/>
  <c r="K26" i="5"/>
  <c r="I7" i="5"/>
  <c r="I26" i="5" s="1"/>
  <c r="D7" i="5"/>
  <c r="F7" i="5" s="1"/>
  <c r="H6" i="5"/>
  <c r="E6" i="5"/>
  <c r="H5" i="5"/>
  <c r="E5" i="5"/>
  <c r="M5" i="5" s="1"/>
  <c r="AC29" i="4"/>
  <c r="AC15" i="4"/>
  <c r="AC26" i="4"/>
  <c r="AC19" i="4"/>
  <c r="AC8" i="4"/>
  <c r="AB15" i="4"/>
  <c r="M14" i="4"/>
  <c r="J27" i="4"/>
  <c r="O26" i="4"/>
  <c r="M26" i="4"/>
  <c r="K25" i="4"/>
  <c r="I25" i="4"/>
  <c r="D25" i="4"/>
  <c r="F25" i="4" s="1"/>
  <c r="K24" i="4"/>
  <c r="I24" i="4"/>
  <c r="D24" i="4"/>
  <c r="F24" i="4" s="1"/>
  <c r="K23" i="4"/>
  <c r="I23" i="4"/>
  <c r="D23" i="4"/>
  <c r="F23" i="4" s="1"/>
  <c r="K22" i="4"/>
  <c r="I22" i="4"/>
  <c r="D22" i="4"/>
  <c r="F22" i="4" s="1"/>
  <c r="K21" i="4"/>
  <c r="I21" i="4"/>
  <c r="D21" i="4"/>
  <c r="F21" i="4" s="1"/>
  <c r="K20" i="4"/>
  <c r="I20" i="4"/>
  <c r="D20" i="4"/>
  <c r="F20" i="4" s="1"/>
  <c r="K19" i="4"/>
  <c r="I19" i="4"/>
  <c r="D19" i="4"/>
  <c r="F19" i="4" s="1"/>
  <c r="K18" i="4"/>
  <c r="I18" i="4"/>
  <c r="D18" i="4"/>
  <c r="F18" i="4" s="1"/>
  <c r="E17" i="4"/>
  <c r="E16" i="4"/>
  <c r="AB27" i="4"/>
  <c r="K15" i="4"/>
  <c r="I15" i="4"/>
  <c r="D15" i="4"/>
  <c r="F15" i="4" s="1"/>
  <c r="K14" i="4"/>
  <c r="I14" i="4"/>
  <c r="D14" i="4"/>
  <c r="F14" i="4" s="1"/>
  <c r="Y13" i="4"/>
  <c r="W13" i="4"/>
  <c r="U13" i="4"/>
  <c r="S13" i="4"/>
  <c r="Q13" i="4"/>
  <c r="O13" i="4"/>
  <c r="M13" i="4"/>
  <c r="K13" i="4"/>
  <c r="I13" i="4"/>
  <c r="H13" i="4"/>
  <c r="Z13" i="4" s="1"/>
  <c r="AA27" i="4"/>
  <c r="K12" i="4"/>
  <c r="I12" i="4"/>
  <c r="D12" i="4"/>
  <c r="F12" i="4" s="1"/>
  <c r="K11" i="4"/>
  <c r="I11" i="4"/>
  <c r="D11" i="4"/>
  <c r="F11" i="4" s="1"/>
  <c r="K10" i="4"/>
  <c r="I10" i="4"/>
  <c r="F10" i="4"/>
  <c r="H10" i="4" s="1"/>
  <c r="E10" i="4"/>
  <c r="K9" i="4"/>
  <c r="I9" i="4"/>
  <c r="D9" i="4"/>
  <c r="F9" i="4" s="1"/>
  <c r="K8" i="4"/>
  <c r="I8" i="4"/>
  <c r="D8" i="4"/>
  <c r="F8" i="4" s="1"/>
  <c r="K7" i="4"/>
  <c r="K27" i="4" s="1"/>
  <c r="I7" i="4"/>
  <c r="I27" i="4" s="1"/>
  <c r="D7" i="4"/>
  <c r="F7" i="4" s="1"/>
  <c r="H6" i="4"/>
  <c r="E6" i="4"/>
  <c r="H5" i="4"/>
  <c r="E5" i="4"/>
  <c r="AB15" i="3"/>
  <c r="AB14" i="1"/>
  <c r="AE15" i="3"/>
  <c r="AC6" i="3"/>
  <c r="M5" i="3"/>
  <c r="J27" i="3"/>
  <c r="K9" i="3"/>
  <c r="Z9" i="3"/>
  <c r="AD12" i="3"/>
  <c r="AA12" i="3"/>
  <c r="D14" i="3"/>
  <c r="H13" i="3"/>
  <c r="I13" i="3"/>
  <c r="K13" i="3"/>
  <c r="M13" i="3"/>
  <c r="O13" i="3"/>
  <c r="Q13" i="3"/>
  <c r="S13" i="3"/>
  <c r="U13" i="3"/>
  <c r="W13" i="3"/>
  <c r="Y13" i="3"/>
  <c r="Z13" i="3"/>
  <c r="E16" i="3"/>
  <c r="M16" i="3"/>
  <c r="O16" i="3"/>
  <c r="S16" i="3"/>
  <c r="U16" i="3"/>
  <c r="E17" i="3"/>
  <c r="M17" i="3"/>
  <c r="O17" i="3"/>
  <c r="Q17" i="3"/>
  <c r="S17" i="3"/>
  <c r="U17" i="3"/>
  <c r="AA27" i="3"/>
  <c r="O26" i="3"/>
  <c r="M26" i="3"/>
  <c r="K25" i="3"/>
  <c r="I25" i="3"/>
  <c r="D25" i="3"/>
  <c r="F25" i="3" s="1"/>
  <c r="K24" i="3"/>
  <c r="I24" i="3"/>
  <c r="D24" i="3"/>
  <c r="F24" i="3" s="1"/>
  <c r="K23" i="3"/>
  <c r="I23" i="3"/>
  <c r="D23" i="3"/>
  <c r="F23" i="3" s="1"/>
  <c r="K22" i="3"/>
  <c r="I22" i="3"/>
  <c r="D22" i="3"/>
  <c r="F22" i="3" s="1"/>
  <c r="K21" i="3"/>
  <c r="I21" i="3"/>
  <c r="D21" i="3"/>
  <c r="F21" i="3" s="1"/>
  <c r="K20" i="3"/>
  <c r="I20" i="3"/>
  <c r="D20" i="3"/>
  <c r="F20" i="3" s="1"/>
  <c r="K19" i="3"/>
  <c r="I19" i="3"/>
  <c r="D19" i="3"/>
  <c r="F19" i="3" s="1"/>
  <c r="K18" i="3"/>
  <c r="I18" i="3"/>
  <c r="D18" i="3"/>
  <c r="F18" i="3" s="1"/>
  <c r="AB27" i="3"/>
  <c r="K15" i="3"/>
  <c r="I15" i="3"/>
  <c r="D15" i="3"/>
  <c r="F15" i="3" s="1"/>
  <c r="K14" i="3"/>
  <c r="I14" i="3"/>
  <c r="F14" i="3"/>
  <c r="K12" i="3"/>
  <c r="I12" i="3"/>
  <c r="D12" i="3"/>
  <c r="F12" i="3" s="1"/>
  <c r="K11" i="3"/>
  <c r="I11" i="3"/>
  <c r="D11" i="3"/>
  <c r="F11" i="3" s="1"/>
  <c r="K10" i="3"/>
  <c r="I10" i="3"/>
  <c r="F10" i="3"/>
  <c r="H10" i="3" s="1"/>
  <c r="E10" i="3"/>
  <c r="I9" i="3"/>
  <c r="D9" i="3"/>
  <c r="F9" i="3" s="1"/>
  <c r="K8" i="3"/>
  <c r="I8" i="3"/>
  <c r="D8" i="3"/>
  <c r="F8" i="3" s="1"/>
  <c r="K7" i="3"/>
  <c r="K27" i="3" s="1"/>
  <c r="I7" i="3"/>
  <c r="I27" i="3" s="1"/>
  <c r="D7" i="3"/>
  <c r="F7" i="3" s="1"/>
  <c r="H6" i="3"/>
  <c r="E6" i="3"/>
  <c r="H5" i="3"/>
  <c r="E5" i="3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7" i="1"/>
  <c r="Q9" i="1"/>
  <c r="M5" i="1"/>
  <c r="O8" i="1"/>
  <c r="O6" i="1"/>
  <c r="F13" i="1"/>
  <c r="F8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7" i="1"/>
  <c r="F7" i="1"/>
  <c r="Q14" i="1"/>
  <c r="Q18" i="1"/>
  <c r="Q19" i="1"/>
  <c r="Q20" i="1"/>
  <c r="Q21" i="1"/>
  <c r="Q22" i="1"/>
  <c r="Q23" i="1"/>
  <c r="Q24" i="1"/>
  <c r="Q17" i="1"/>
  <c r="Q10" i="1"/>
  <c r="Q11" i="1"/>
  <c r="Q12" i="1"/>
  <c r="Q13" i="1"/>
  <c r="Q6" i="1"/>
  <c r="Q8" i="1"/>
  <c r="Q5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5" i="1"/>
  <c r="Q16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M25" i="1"/>
  <c r="D17" i="1"/>
  <c r="D8" i="1"/>
  <c r="D18" i="1"/>
  <c r="K18" i="1"/>
  <c r="K19" i="1"/>
  <c r="K20" i="1"/>
  <c r="K21" i="1"/>
  <c r="K22" i="1"/>
  <c r="K23" i="1"/>
  <c r="K24" i="1"/>
  <c r="K17" i="1"/>
  <c r="K8" i="1"/>
  <c r="K9" i="1"/>
  <c r="K10" i="1"/>
  <c r="K11" i="1"/>
  <c r="K12" i="1"/>
  <c r="K13" i="1"/>
  <c r="K14" i="1"/>
  <c r="K7" i="1"/>
  <c r="I7" i="1"/>
  <c r="H5" i="1"/>
  <c r="D24" i="1"/>
  <c r="D21" i="1"/>
  <c r="D7" i="1"/>
  <c r="D14" i="1"/>
  <c r="H8" i="1"/>
  <c r="F10" i="1"/>
  <c r="F14" i="1"/>
  <c r="F17" i="1"/>
  <c r="F18" i="1"/>
  <c r="F21" i="1"/>
  <c r="F24" i="1"/>
  <c r="D23" i="1"/>
  <c r="F23" i="1" s="1"/>
  <c r="D22" i="1"/>
  <c r="F22" i="1" s="1"/>
  <c r="D20" i="1"/>
  <c r="F20" i="1" s="1"/>
  <c r="D19" i="1"/>
  <c r="F19" i="1" s="1"/>
  <c r="H19" i="1" s="1"/>
  <c r="D13" i="1"/>
  <c r="D12" i="1"/>
  <c r="F12" i="1" s="1"/>
  <c r="D11" i="1"/>
  <c r="F11" i="1" s="1"/>
  <c r="D9" i="1"/>
  <c r="F9" i="1" s="1"/>
  <c r="H13" i="1"/>
  <c r="AE18" i="1"/>
  <c r="I8" i="1"/>
  <c r="I9" i="1"/>
  <c r="I10" i="1"/>
  <c r="I11" i="1"/>
  <c r="I12" i="1"/>
  <c r="I13" i="1"/>
  <c r="I14" i="1"/>
  <c r="I17" i="1"/>
  <c r="I18" i="1"/>
  <c r="I19" i="1"/>
  <c r="I20" i="1"/>
  <c r="I21" i="1"/>
  <c r="I22" i="1"/>
  <c r="I23" i="1"/>
  <c r="I24" i="1"/>
  <c r="E5" i="1"/>
  <c r="E21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3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AB26" i="1"/>
  <c r="AA26" i="1"/>
  <c r="J26" i="1"/>
  <c r="H24" i="1"/>
  <c r="H23" i="1"/>
  <c r="H22" i="1"/>
  <c r="H21" i="1"/>
  <c r="H20" i="1"/>
  <c r="H18" i="1"/>
  <c r="H17" i="1"/>
  <c r="H14" i="1"/>
  <c r="H12" i="1"/>
  <c r="H11" i="1"/>
  <c r="H10" i="1"/>
  <c r="H9" i="1"/>
  <c r="K26" i="1"/>
  <c r="I26" i="1"/>
  <c r="H6" i="1"/>
  <c r="E6" i="1"/>
  <c r="Y5" i="9" l="1"/>
  <c r="W5" i="9"/>
  <c r="U5" i="9"/>
  <c r="S5" i="9"/>
  <c r="Q5" i="9"/>
  <c r="O5" i="9"/>
  <c r="M5" i="9"/>
  <c r="Z5" i="9"/>
  <c r="Y6" i="9"/>
  <c r="W6" i="9"/>
  <c r="U6" i="9"/>
  <c r="S6" i="9"/>
  <c r="Q6" i="9"/>
  <c r="O6" i="9"/>
  <c r="M6" i="9"/>
  <c r="Z6" i="9"/>
  <c r="AC6" i="9" s="1"/>
  <c r="AH6" i="9" s="1"/>
  <c r="F23" i="9"/>
  <c r="H7" i="9"/>
  <c r="E7" i="9"/>
  <c r="H8" i="9"/>
  <c r="E8" i="9"/>
  <c r="Y9" i="9"/>
  <c r="W9" i="9"/>
  <c r="U9" i="9"/>
  <c r="S9" i="9"/>
  <c r="Q9" i="9"/>
  <c r="O9" i="9"/>
  <c r="M9" i="9"/>
  <c r="Z9" i="9"/>
  <c r="AC9" i="9" s="1"/>
  <c r="H10" i="9"/>
  <c r="E10" i="9"/>
  <c r="H11" i="9"/>
  <c r="E11" i="9"/>
  <c r="H12" i="9"/>
  <c r="E12" i="9"/>
  <c r="U13" i="9"/>
  <c r="S13" i="9"/>
  <c r="O13" i="9"/>
  <c r="M13" i="9"/>
  <c r="U14" i="9"/>
  <c r="S14" i="9"/>
  <c r="Q14" i="9"/>
  <c r="O14" i="9"/>
  <c r="M14" i="9"/>
  <c r="H15" i="9"/>
  <c r="E15" i="9"/>
  <c r="H16" i="9"/>
  <c r="E16" i="9"/>
  <c r="H17" i="9"/>
  <c r="E17" i="9"/>
  <c r="H18" i="9"/>
  <c r="E18" i="9"/>
  <c r="H19" i="9"/>
  <c r="E19" i="9"/>
  <c r="H20" i="9"/>
  <c r="E20" i="9"/>
  <c r="H21" i="9"/>
  <c r="E21" i="9"/>
  <c r="Y5" i="8"/>
  <c r="W5" i="8"/>
  <c r="U5" i="8"/>
  <c r="S5" i="8"/>
  <c r="Q5" i="8"/>
  <c r="O5" i="8"/>
  <c r="M5" i="8"/>
  <c r="Z5" i="8"/>
  <c r="Y6" i="8"/>
  <c r="W6" i="8"/>
  <c r="U6" i="8"/>
  <c r="S6" i="8"/>
  <c r="Q6" i="8"/>
  <c r="O6" i="8"/>
  <c r="M6" i="8"/>
  <c r="Z6" i="8"/>
  <c r="AC6" i="8" s="1"/>
  <c r="F24" i="8"/>
  <c r="H7" i="8"/>
  <c r="E7" i="8"/>
  <c r="H8" i="8"/>
  <c r="E8" i="8"/>
  <c r="Y9" i="8"/>
  <c r="W9" i="8"/>
  <c r="U9" i="8"/>
  <c r="S9" i="8"/>
  <c r="Q9" i="8"/>
  <c r="O9" i="8"/>
  <c r="M9" i="8"/>
  <c r="Z9" i="8"/>
  <c r="AC9" i="8" s="1"/>
  <c r="H10" i="8"/>
  <c r="E10" i="8"/>
  <c r="H11" i="8"/>
  <c r="E11" i="8"/>
  <c r="H12" i="8"/>
  <c r="E12" i="8"/>
  <c r="H13" i="8"/>
  <c r="E13" i="8"/>
  <c r="U14" i="8"/>
  <c r="S14" i="8"/>
  <c r="O14" i="8"/>
  <c r="M14" i="8"/>
  <c r="U15" i="8"/>
  <c r="S15" i="8"/>
  <c r="Q15" i="8"/>
  <c r="O15" i="8"/>
  <c r="M15" i="8"/>
  <c r="H16" i="8"/>
  <c r="E16" i="8"/>
  <c r="H17" i="8"/>
  <c r="E17" i="8"/>
  <c r="H18" i="8"/>
  <c r="E18" i="8"/>
  <c r="H19" i="8"/>
  <c r="E19" i="8"/>
  <c r="H20" i="8"/>
  <c r="E20" i="8"/>
  <c r="H21" i="8"/>
  <c r="E21" i="8"/>
  <c r="H22" i="8"/>
  <c r="E22" i="8"/>
  <c r="Y5" i="7"/>
  <c r="W5" i="7"/>
  <c r="U5" i="7"/>
  <c r="S5" i="7"/>
  <c r="Q5" i="7"/>
  <c r="O5" i="7"/>
  <c r="M5" i="7"/>
  <c r="Z5" i="7"/>
  <c r="Y6" i="7"/>
  <c r="W6" i="7"/>
  <c r="U6" i="7"/>
  <c r="S6" i="7"/>
  <c r="Q6" i="7"/>
  <c r="O6" i="7"/>
  <c r="M6" i="7"/>
  <c r="Z6" i="7"/>
  <c r="AC6" i="7" s="1"/>
  <c r="AG6" i="7" s="1"/>
  <c r="F25" i="7"/>
  <c r="H7" i="7"/>
  <c r="E7" i="7"/>
  <c r="H8" i="7"/>
  <c r="E8" i="7"/>
  <c r="Y9" i="7"/>
  <c r="W9" i="7"/>
  <c r="U9" i="7"/>
  <c r="S9" i="7"/>
  <c r="Q9" i="7"/>
  <c r="O9" i="7"/>
  <c r="M9" i="7"/>
  <c r="Z9" i="7"/>
  <c r="AC9" i="7" s="1"/>
  <c r="H10" i="7"/>
  <c r="E10" i="7"/>
  <c r="H11" i="7"/>
  <c r="E11" i="7"/>
  <c r="H12" i="7"/>
  <c r="H13" i="7"/>
  <c r="E13" i="7"/>
  <c r="H14" i="7"/>
  <c r="E14" i="7"/>
  <c r="U15" i="7"/>
  <c r="S15" i="7"/>
  <c r="O15" i="7"/>
  <c r="M15" i="7"/>
  <c r="U16" i="7"/>
  <c r="S16" i="7"/>
  <c r="Q16" i="7"/>
  <c r="O16" i="7"/>
  <c r="M16" i="7"/>
  <c r="H17" i="7"/>
  <c r="E17" i="7"/>
  <c r="H18" i="7"/>
  <c r="E18" i="7"/>
  <c r="H19" i="7"/>
  <c r="E19" i="7"/>
  <c r="H20" i="7"/>
  <c r="E20" i="7"/>
  <c r="H21" i="7"/>
  <c r="E21" i="7"/>
  <c r="H22" i="7"/>
  <c r="E22" i="7"/>
  <c r="H23" i="7"/>
  <c r="E23" i="7"/>
  <c r="Y5" i="6"/>
  <c r="W5" i="6"/>
  <c r="U5" i="6"/>
  <c r="S5" i="6"/>
  <c r="Q5" i="6"/>
  <c r="O5" i="6"/>
  <c r="M5" i="6"/>
  <c r="Z5" i="6"/>
  <c r="Y6" i="6"/>
  <c r="W6" i="6"/>
  <c r="U6" i="6"/>
  <c r="S6" i="6"/>
  <c r="Q6" i="6"/>
  <c r="O6" i="6"/>
  <c r="M6" i="6"/>
  <c r="Z6" i="6"/>
  <c r="AC6" i="6" s="1"/>
  <c r="AI6" i="6" s="1"/>
  <c r="F26" i="6"/>
  <c r="H7" i="6"/>
  <c r="E7" i="6"/>
  <c r="H8" i="6"/>
  <c r="E8" i="6"/>
  <c r="Y9" i="6"/>
  <c r="W9" i="6"/>
  <c r="U9" i="6"/>
  <c r="S9" i="6"/>
  <c r="Q9" i="6"/>
  <c r="O9" i="6"/>
  <c r="M9" i="6"/>
  <c r="Z9" i="6"/>
  <c r="AC9" i="6" s="1"/>
  <c r="E10" i="6"/>
  <c r="H11" i="6"/>
  <c r="E11" i="6"/>
  <c r="H13" i="6"/>
  <c r="E13" i="6"/>
  <c r="H14" i="6"/>
  <c r="E14" i="6"/>
  <c r="H15" i="6"/>
  <c r="E15" i="6"/>
  <c r="U16" i="6"/>
  <c r="S16" i="6"/>
  <c r="O16" i="6"/>
  <c r="M16" i="6"/>
  <c r="U17" i="6"/>
  <c r="S17" i="6"/>
  <c r="Q17" i="6"/>
  <c r="O17" i="6"/>
  <c r="M17" i="6"/>
  <c r="H18" i="6"/>
  <c r="E18" i="6"/>
  <c r="H19" i="6"/>
  <c r="E19" i="6"/>
  <c r="H20" i="6"/>
  <c r="E20" i="6"/>
  <c r="H21" i="6"/>
  <c r="E21" i="6"/>
  <c r="H22" i="6"/>
  <c r="E22" i="6"/>
  <c r="H23" i="6"/>
  <c r="E23" i="6"/>
  <c r="H24" i="6"/>
  <c r="E24" i="6"/>
  <c r="Y5" i="5"/>
  <c r="W5" i="5"/>
  <c r="U5" i="5"/>
  <c r="S5" i="5"/>
  <c r="Q5" i="5"/>
  <c r="O5" i="5"/>
  <c r="Z5" i="5"/>
  <c r="Y6" i="5"/>
  <c r="W6" i="5"/>
  <c r="U6" i="5"/>
  <c r="S6" i="5"/>
  <c r="Q6" i="5"/>
  <c r="O6" i="5"/>
  <c r="M6" i="5"/>
  <c r="Z6" i="5"/>
  <c r="AC6" i="5" s="1"/>
  <c r="AG6" i="5" s="1"/>
  <c r="F26" i="5"/>
  <c r="H7" i="5"/>
  <c r="E7" i="5"/>
  <c r="H8" i="5"/>
  <c r="E8" i="5"/>
  <c r="M8" i="5" s="1"/>
  <c r="H9" i="5"/>
  <c r="E9" i="5"/>
  <c r="Y10" i="5"/>
  <c r="W10" i="5"/>
  <c r="U10" i="5"/>
  <c r="S10" i="5"/>
  <c r="Q10" i="5"/>
  <c r="O10" i="5"/>
  <c r="M10" i="5"/>
  <c r="Z10" i="5"/>
  <c r="AC10" i="5" s="1"/>
  <c r="H11" i="5"/>
  <c r="E11" i="5"/>
  <c r="M11" i="5" s="1"/>
  <c r="H12" i="5"/>
  <c r="E12" i="5"/>
  <c r="H13" i="5"/>
  <c r="E13" i="5"/>
  <c r="H14" i="5"/>
  <c r="E14" i="5"/>
  <c r="U16" i="5"/>
  <c r="S16" i="5"/>
  <c r="O16" i="5"/>
  <c r="M16" i="5"/>
  <c r="U17" i="5"/>
  <c r="S17" i="5"/>
  <c r="Q17" i="5"/>
  <c r="O17" i="5"/>
  <c r="M17" i="5"/>
  <c r="H18" i="5"/>
  <c r="E18" i="5"/>
  <c r="H15" i="5"/>
  <c r="E15" i="5"/>
  <c r="H19" i="5"/>
  <c r="E19" i="5"/>
  <c r="H20" i="5"/>
  <c r="E20" i="5"/>
  <c r="H21" i="5"/>
  <c r="E21" i="5"/>
  <c r="H22" i="5"/>
  <c r="E22" i="5"/>
  <c r="H23" i="5"/>
  <c r="E23" i="5"/>
  <c r="H24" i="5"/>
  <c r="E24" i="5"/>
  <c r="Y5" i="4"/>
  <c r="W5" i="4"/>
  <c r="U5" i="4"/>
  <c r="S5" i="4"/>
  <c r="Q5" i="4"/>
  <c r="O5" i="4"/>
  <c r="M5" i="4"/>
  <c r="Z5" i="4"/>
  <c r="Y6" i="4"/>
  <c r="W6" i="4"/>
  <c r="U6" i="4"/>
  <c r="S6" i="4"/>
  <c r="Q6" i="4"/>
  <c r="O6" i="4"/>
  <c r="M6" i="4"/>
  <c r="Z6" i="4"/>
  <c r="AC6" i="4" s="1"/>
  <c r="F27" i="4"/>
  <c r="H7" i="4"/>
  <c r="E7" i="4"/>
  <c r="H8" i="4"/>
  <c r="E8" i="4"/>
  <c r="H9" i="4"/>
  <c r="E9" i="4"/>
  <c r="Y10" i="4"/>
  <c r="W10" i="4"/>
  <c r="U10" i="4"/>
  <c r="S10" i="4"/>
  <c r="Q10" i="4"/>
  <c r="O10" i="4"/>
  <c r="M10" i="4"/>
  <c r="Z10" i="4"/>
  <c r="AC10" i="4" s="1"/>
  <c r="H11" i="4"/>
  <c r="E11" i="4"/>
  <c r="H12" i="4"/>
  <c r="E12" i="4"/>
  <c r="H14" i="4"/>
  <c r="E14" i="4"/>
  <c r="H15" i="4"/>
  <c r="E15" i="4"/>
  <c r="U16" i="4"/>
  <c r="S16" i="4"/>
  <c r="O16" i="4"/>
  <c r="M16" i="4"/>
  <c r="U17" i="4"/>
  <c r="S17" i="4"/>
  <c r="Q17" i="4"/>
  <c r="O17" i="4"/>
  <c r="M17" i="4"/>
  <c r="H18" i="4"/>
  <c r="E18" i="4"/>
  <c r="H19" i="4"/>
  <c r="E19" i="4"/>
  <c r="H20" i="4"/>
  <c r="E20" i="4"/>
  <c r="H21" i="4"/>
  <c r="E21" i="4"/>
  <c r="H22" i="4"/>
  <c r="E22" i="4"/>
  <c r="H23" i="4"/>
  <c r="E23" i="4"/>
  <c r="H24" i="4"/>
  <c r="E24" i="4"/>
  <c r="H25" i="4"/>
  <c r="E25" i="4"/>
  <c r="Y5" i="3"/>
  <c r="W5" i="3"/>
  <c r="U5" i="3"/>
  <c r="S5" i="3"/>
  <c r="Q5" i="3"/>
  <c r="O5" i="3"/>
  <c r="Z5" i="3"/>
  <c r="Y6" i="3"/>
  <c r="W6" i="3"/>
  <c r="U6" i="3"/>
  <c r="S6" i="3"/>
  <c r="Q6" i="3"/>
  <c r="O6" i="3"/>
  <c r="M6" i="3"/>
  <c r="Z6" i="3"/>
  <c r="F27" i="3"/>
  <c r="H7" i="3"/>
  <c r="E7" i="3"/>
  <c r="H8" i="3"/>
  <c r="E8" i="3"/>
  <c r="M8" i="3" s="1"/>
  <c r="H9" i="3"/>
  <c r="E9" i="3"/>
  <c r="M9" i="3" s="1"/>
  <c r="Y10" i="3"/>
  <c r="W10" i="3"/>
  <c r="U10" i="3"/>
  <c r="S10" i="3"/>
  <c r="Q10" i="3"/>
  <c r="O10" i="3"/>
  <c r="M10" i="3"/>
  <c r="Z10" i="3"/>
  <c r="AC10" i="3" s="1"/>
  <c r="H11" i="3"/>
  <c r="E11" i="3"/>
  <c r="H12" i="3"/>
  <c r="E12" i="3"/>
  <c r="H14" i="3"/>
  <c r="E14" i="3"/>
  <c r="H15" i="3"/>
  <c r="E15" i="3"/>
  <c r="H18" i="3"/>
  <c r="E18" i="3"/>
  <c r="H19" i="3"/>
  <c r="E19" i="3"/>
  <c r="H20" i="3"/>
  <c r="E20" i="3"/>
  <c r="H21" i="3"/>
  <c r="E21" i="3"/>
  <c r="H22" i="3"/>
  <c r="E22" i="3"/>
  <c r="H23" i="3"/>
  <c r="E23" i="3"/>
  <c r="H24" i="3"/>
  <c r="E24" i="3"/>
  <c r="H25" i="3"/>
  <c r="E25" i="3"/>
  <c r="Q7" i="1"/>
  <c r="Q15" i="1" s="1"/>
  <c r="U7" i="1"/>
  <c r="S7" i="1"/>
  <c r="O7" i="1"/>
  <c r="Q25" i="1"/>
  <c r="H25" i="1"/>
  <c r="F26" i="1"/>
  <c r="E26" i="1"/>
  <c r="Y5" i="1"/>
  <c r="W5" i="1"/>
  <c r="U5" i="1"/>
  <c r="O5" i="1"/>
  <c r="Z5" i="1"/>
  <c r="AC5" i="1" s="1"/>
  <c r="Y6" i="1"/>
  <c r="W6" i="1"/>
  <c r="U6" i="1"/>
  <c r="S6" i="1"/>
  <c r="M6" i="1"/>
  <c r="Z6" i="1"/>
  <c r="AC6" i="1" s="1"/>
  <c r="Y7" i="1"/>
  <c r="W7" i="1"/>
  <c r="H7" i="1"/>
  <c r="Y8" i="1"/>
  <c r="W8" i="1"/>
  <c r="Y9" i="1"/>
  <c r="W9" i="1"/>
  <c r="Y10" i="1"/>
  <c r="W10" i="1"/>
  <c r="Y11" i="1"/>
  <c r="W11" i="1"/>
  <c r="Y12" i="1"/>
  <c r="W12" i="1"/>
  <c r="Y13" i="1"/>
  <c r="W13" i="1"/>
  <c r="Y14" i="1"/>
  <c r="W14" i="1"/>
  <c r="Y17" i="1"/>
  <c r="W17" i="1"/>
  <c r="Z17" i="1"/>
  <c r="AC17" i="1" s="1"/>
  <c r="Y18" i="1"/>
  <c r="W18" i="1"/>
  <c r="Z18" i="1"/>
  <c r="AC18" i="1" s="1"/>
  <c r="Y19" i="1"/>
  <c r="W19" i="1"/>
  <c r="Z19" i="1"/>
  <c r="AC19" i="1" s="1"/>
  <c r="Y20" i="1"/>
  <c r="W20" i="1"/>
  <c r="Z20" i="1"/>
  <c r="AC20" i="1" s="1"/>
  <c r="Y21" i="1"/>
  <c r="W21" i="1"/>
  <c r="Z21" i="1"/>
  <c r="AC21" i="1" s="1"/>
  <c r="Y22" i="1"/>
  <c r="W22" i="1"/>
  <c r="Z22" i="1"/>
  <c r="AC22" i="1" s="1"/>
  <c r="Y23" i="1"/>
  <c r="W23" i="1"/>
  <c r="Z23" i="1"/>
  <c r="AC23" i="1" s="1"/>
  <c r="Y24" i="1"/>
  <c r="W24" i="1"/>
  <c r="Z24" i="1"/>
  <c r="AC24" i="1" s="1"/>
  <c r="Y21" i="9" l="1"/>
  <c r="W21" i="9"/>
  <c r="S21" i="9"/>
  <c r="Q21" i="9"/>
  <c r="O21" i="9"/>
  <c r="M21" i="9"/>
  <c r="Z21" i="9"/>
  <c r="AC21" i="9" s="1"/>
  <c r="Y20" i="9"/>
  <c r="W20" i="9"/>
  <c r="U20" i="9"/>
  <c r="S20" i="9"/>
  <c r="Q20" i="9"/>
  <c r="O20" i="9"/>
  <c r="M20" i="9"/>
  <c r="Z20" i="9"/>
  <c r="AC20" i="9" s="1"/>
  <c r="Y19" i="9"/>
  <c r="W19" i="9"/>
  <c r="U19" i="9"/>
  <c r="S19" i="9"/>
  <c r="Q19" i="9"/>
  <c r="O19" i="9"/>
  <c r="M19" i="9"/>
  <c r="Z19" i="9"/>
  <c r="AC19" i="9" s="1"/>
  <c r="Y18" i="9"/>
  <c r="W18" i="9"/>
  <c r="U18" i="9"/>
  <c r="S18" i="9"/>
  <c r="Q18" i="9"/>
  <c r="O18" i="9"/>
  <c r="M18" i="9"/>
  <c r="Z18" i="9"/>
  <c r="AC18" i="9" s="1"/>
  <c r="Y17" i="9"/>
  <c r="W17" i="9"/>
  <c r="U17" i="9"/>
  <c r="S17" i="9"/>
  <c r="Q17" i="9"/>
  <c r="O17" i="9"/>
  <c r="M17" i="9"/>
  <c r="Z17" i="9"/>
  <c r="AC17" i="9" s="1"/>
  <c r="Y16" i="9"/>
  <c r="W16" i="9"/>
  <c r="U16" i="9"/>
  <c r="S16" i="9"/>
  <c r="Q16" i="9"/>
  <c r="O16" i="9"/>
  <c r="M16" i="9"/>
  <c r="Z16" i="9"/>
  <c r="AC16" i="9" s="1"/>
  <c r="Y15" i="9"/>
  <c r="W15" i="9"/>
  <c r="U15" i="9"/>
  <c r="S15" i="9"/>
  <c r="Q15" i="9"/>
  <c r="O15" i="9"/>
  <c r="M15" i="9"/>
  <c r="M23" i="9" s="1"/>
  <c r="H22" i="9"/>
  <c r="Z15" i="9"/>
  <c r="AC15" i="9" s="1"/>
  <c r="AC22" i="9" s="1"/>
  <c r="Y12" i="9"/>
  <c r="W12" i="9"/>
  <c r="U12" i="9"/>
  <c r="S12" i="9"/>
  <c r="Q12" i="9"/>
  <c r="O12" i="9"/>
  <c r="M12" i="9"/>
  <c r="Z12" i="9"/>
  <c r="AC12" i="9" s="1"/>
  <c r="Y11" i="9"/>
  <c r="W11" i="9"/>
  <c r="U11" i="9"/>
  <c r="S11" i="9"/>
  <c r="Q11" i="9"/>
  <c r="O11" i="9"/>
  <c r="M11" i="9"/>
  <c r="Z11" i="9"/>
  <c r="AC11" i="9" s="1"/>
  <c r="Y10" i="9"/>
  <c r="W10" i="9"/>
  <c r="U10" i="9"/>
  <c r="S10" i="9"/>
  <c r="Q10" i="9"/>
  <c r="O10" i="9"/>
  <c r="M10" i="9"/>
  <c r="Z10" i="9"/>
  <c r="AC10" i="9" s="1"/>
  <c r="Q13" i="9"/>
  <c r="Q23" i="9" s="1"/>
  <c r="Y8" i="9"/>
  <c r="W8" i="9"/>
  <c r="U8" i="9"/>
  <c r="S8" i="9"/>
  <c r="Q8" i="9"/>
  <c r="M8" i="9"/>
  <c r="Z8" i="9"/>
  <c r="AC8" i="9" s="1"/>
  <c r="Y7" i="9"/>
  <c r="W7" i="9"/>
  <c r="U7" i="9"/>
  <c r="S7" i="9"/>
  <c r="Q7" i="9"/>
  <c r="O7" i="9"/>
  <c r="M7" i="9"/>
  <c r="E23" i="9"/>
  <c r="Z7" i="9"/>
  <c r="AC7" i="9" s="1"/>
  <c r="H13" i="9"/>
  <c r="Z23" i="9"/>
  <c r="AC5" i="9"/>
  <c r="O23" i="9"/>
  <c r="S23" i="9"/>
  <c r="U23" i="9"/>
  <c r="W23" i="9"/>
  <c r="Y23" i="9"/>
  <c r="AH6" i="8"/>
  <c r="Y22" i="8"/>
  <c r="W22" i="8"/>
  <c r="U22" i="8"/>
  <c r="S22" i="8"/>
  <c r="Q22" i="8"/>
  <c r="O22" i="8"/>
  <c r="M22" i="8"/>
  <c r="Z22" i="8"/>
  <c r="AC22" i="8" s="1"/>
  <c r="Y21" i="8"/>
  <c r="W21" i="8"/>
  <c r="U21" i="8"/>
  <c r="S21" i="8"/>
  <c r="Q21" i="8"/>
  <c r="O21" i="8"/>
  <c r="M21" i="8"/>
  <c r="Z21" i="8"/>
  <c r="AC21" i="8" s="1"/>
  <c r="Y20" i="8"/>
  <c r="W20" i="8"/>
  <c r="U20" i="8"/>
  <c r="S20" i="8"/>
  <c r="Q20" i="8"/>
  <c r="O20" i="8"/>
  <c r="M20" i="8"/>
  <c r="Z20" i="8"/>
  <c r="AC20" i="8" s="1"/>
  <c r="Y19" i="8"/>
  <c r="W19" i="8"/>
  <c r="U19" i="8"/>
  <c r="S19" i="8"/>
  <c r="Q19" i="8"/>
  <c r="O19" i="8"/>
  <c r="M19" i="8"/>
  <c r="Z19" i="8"/>
  <c r="AC19" i="8" s="1"/>
  <c r="Y18" i="8"/>
  <c r="W18" i="8"/>
  <c r="U18" i="8"/>
  <c r="S18" i="8"/>
  <c r="Q18" i="8"/>
  <c r="O18" i="8"/>
  <c r="M18" i="8"/>
  <c r="Z18" i="8"/>
  <c r="AC18" i="8" s="1"/>
  <c r="Y17" i="8"/>
  <c r="W17" i="8"/>
  <c r="U17" i="8"/>
  <c r="S17" i="8"/>
  <c r="Q17" i="8"/>
  <c r="O17" i="8"/>
  <c r="M17" i="8"/>
  <c r="Z17" i="8"/>
  <c r="AC17" i="8" s="1"/>
  <c r="Y16" i="8"/>
  <c r="W16" i="8"/>
  <c r="U16" i="8"/>
  <c r="S16" i="8"/>
  <c r="Q16" i="8"/>
  <c r="Q23" i="8" s="1"/>
  <c r="O16" i="8"/>
  <c r="M16" i="8"/>
  <c r="M24" i="8" s="1"/>
  <c r="H23" i="8"/>
  <c r="Z16" i="8"/>
  <c r="AC16" i="8" s="1"/>
  <c r="Y13" i="8"/>
  <c r="W13" i="8"/>
  <c r="U13" i="8"/>
  <c r="S13" i="8"/>
  <c r="Q13" i="8"/>
  <c r="O13" i="8"/>
  <c r="M13" i="8"/>
  <c r="Z13" i="8"/>
  <c r="AC13" i="8" s="1"/>
  <c r="Y12" i="8"/>
  <c r="W12" i="8"/>
  <c r="U12" i="8"/>
  <c r="S12" i="8"/>
  <c r="Q12" i="8"/>
  <c r="O12" i="8"/>
  <c r="M12" i="8"/>
  <c r="Z12" i="8"/>
  <c r="AC12" i="8" s="1"/>
  <c r="Y11" i="8"/>
  <c r="W11" i="8"/>
  <c r="U11" i="8"/>
  <c r="S11" i="8"/>
  <c r="Q11" i="8"/>
  <c r="O11" i="8"/>
  <c r="M11" i="8"/>
  <c r="Z11" i="8"/>
  <c r="AC11" i="8" s="1"/>
  <c r="Y10" i="8"/>
  <c r="W10" i="8"/>
  <c r="U10" i="8"/>
  <c r="S10" i="8"/>
  <c r="Q10" i="8"/>
  <c r="O10" i="8"/>
  <c r="M10" i="8"/>
  <c r="Z10" i="8"/>
  <c r="AC10" i="8" s="1"/>
  <c r="Q14" i="8"/>
  <c r="Q24" i="8" s="1"/>
  <c r="Y8" i="8"/>
  <c r="W8" i="8"/>
  <c r="U8" i="8"/>
  <c r="S8" i="8"/>
  <c r="Q8" i="8"/>
  <c r="M8" i="8"/>
  <c r="Z8" i="8"/>
  <c r="AC8" i="8" s="1"/>
  <c r="Y7" i="8"/>
  <c r="W7" i="8"/>
  <c r="U7" i="8"/>
  <c r="S7" i="8"/>
  <c r="Q7" i="8"/>
  <c r="O7" i="8"/>
  <c r="M7" i="8"/>
  <c r="E24" i="8"/>
  <c r="Z7" i="8"/>
  <c r="AC7" i="8" s="1"/>
  <c r="H14" i="8"/>
  <c r="Z24" i="8"/>
  <c r="AC5" i="8"/>
  <c r="O24" i="8"/>
  <c r="S24" i="8"/>
  <c r="U24" i="8"/>
  <c r="W24" i="8"/>
  <c r="Y24" i="8"/>
  <c r="Y23" i="7"/>
  <c r="W23" i="7"/>
  <c r="U23" i="7"/>
  <c r="S23" i="7"/>
  <c r="Q23" i="7"/>
  <c r="O23" i="7"/>
  <c r="M23" i="7"/>
  <c r="Z23" i="7"/>
  <c r="AC23" i="7" s="1"/>
  <c r="Y22" i="7"/>
  <c r="W22" i="7"/>
  <c r="U22" i="7"/>
  <c r="S22" i="7"/>
  <c r="Q22" i="7"/>
  <c r="O22" i="7"/>
  <c r="M22" i="7"/>
  <c r="Z22" i="7"/>
  <c r="AC22" i="7" s="1"/>
  <c r="Y21" i="7"/>
  <c r="W21" i="7"/>
  <c r="U21" i="7"/>
  <c r="S21" i="7"/>
  <c r="Q21" i="7"/>
  <c r="O21" i="7"/>
  <c r="M21" i="7"/>
  <c r="Z21" i="7"/>
  <c r="AC21" i="7" s="1"/>
  <c r="Y20" i="7"/>
  <c r="W20" i="7"/>
  <c r="U20" i="7"/>
  <c r="S20" i="7"/>
  <c r="Q20" i="7"/>
  <c r="O20" i="7"/>
  <c r="M20" i="7"/>
  <c r="Z20" i="7"/>
  <c r="AC20" i="7" s="1"/>
  <c r="Y19" i="7"/>
  <c r="W19" i="7"/>
  <c r="U19" i="7"/>
  <c r="S19" i="7"/>
  <c r="Q19" i="7"/>
  <c r="O19" i="7"/>
  <c r="M19" i="7"/>
  <c r="Z19" i="7"/>
  <c r="AC19" i="7" s="1"/>
  <c r="Y18" i="7"/>
  <c r="W18" i="7"/>
  <c r="U18" i="7"/>
  <c r="S18" i="7"/>
  <c r="Q18" i="7"/>
  <c r="O18" i="7"/>
  <c r="M18" i="7"/>
  <c r="Z18" i="7"/>
  <c r="AC18" i="7" s="1"/>
  <c r="Y17" i="7"/>
  <c r="W17" i="7"/>
  <c r="U17" i="7"/>
  <c r="S17" i="7"/>
  <c r="Q17" i="7"/>
  <c r="Q24" i="7" s="1"/>
  <c r="O17" i="7"/>
  <c r="M17" i="7"/>
  <c r="M25" i="7" s="1"/>
  <c r="H24" i="7"/>
  <c r="AC17" i="7"/>
  <c r="AC24" i="7" s="1"/>
  <c r="Y14" i="7"/>
  <c r="W14" i="7"/>
  <c r="U14" i="7"/>
  <c r="S14" i="7"/>
  <c r="Q14" i="7"/>
  <c r="O14" i="7"/>
  <c r="M14" i="7"/>
  <c r="Z14" i="7"/>
  <c r="AC14" i="7" s="1"/>
  <c r="Y13" i="7"/>
  <c r="W13" i="7"/>
  <c r="U13" i="7"/>
  <c r="S13" i="7"/>
  <c r="Q13" i="7"/>
  <c r="O13" i="7"/>
  <c r="M13" i="7"/>
  <c r="Z13" i="7"/>
  <c r="AC13" i="7" s="1"/>
  <c r="Y12" i="7"/>
  <c r="W12" i="7"/>
  <c r="U12" i="7"/>
  <c r="S12" i="7"/>
  <c r="Q12" i="7"/>
  <c r="O12" i="7"/>
  <c r="M12" i="7"/>
  <c r="Z12" i="7"/>
  <c r="AC12" i="7" s="1"/>
  <c r="Y11" i="7"/>
  <c r="W11" i="7"/>
  <c r="U11" i="7"/>
  <c r="S11" i="7"/>
  <c r="Q11" i="7"/>
  <c r="O11" i="7"/>
  <c r="M11" i="7"/>
  <c r="Z11" i="7" s="1"/>
  <c r="AC11" i="7" s="1"/>
  <c r="Y10" i="7"/>
  <c r="W10" i="7"/>
  <c r="U10" i="7"/>
  <c r="S10" i="7"/>
  <c r="O10" i="7"/>
  <c r="M10" i="7"/>
  <c r="Z10" i="7" s="1"/>
  <c r="AC10" i="7"/>
  <c r="Q15" i="7"/>
  <c r="Q25" i="7" s="1"/>
  <c r="Y8" i="7"/>
  <c r="W8" i="7"/>
  <c r="U8" i="7"/>
  <c r="S8" i="7"/>
  <c r="Q8" i="7"/>
  <c r="M8" i="7"/>
  <c r="Y7" i="7"/>
  <c r="W7" i="7"/>
  <c r="U7" i="7"/>
  <c r="S7" i="7"/>
  <c r="Q7" i="7"/>
  <c r="O7" i="7"/>
  <c r="M7" i="7"/>
  <c r="E25" i="7"/>
  <c r="Z7" i="7"/>
  <c r="AC7" i="7" s="1"/>
  <c r="H15" i="7"/>
  <c r="Z25" i="7"/>
  <c r="AC5" i="7"/>
  <c r="O25" i="7"/>
  <c r="S25" i="7"/>
  <c r="U25" i="7"/>
  <c r="W25" i="7"/>
  <c r="Y25" i="7"/>
  <c r="Y24" i="6"/>
  <c r="W24" i="6"/>
  <c r="U24" i="6"/>
  <c r="S24" i="6"/>
  <c r="Q24" i="6"/>
  <c r="O24" i="6"/>
  <c r="M24" i="6"/>
  <c r="Z24" i="6"/>
  <c r="AC24" i="6" s="1"/>
  <c r="Y23" i="6"/>
  <c r="W23" i="6"/>
  <c r="U23" i="6"/>
  <c r="S23" i="6"/>
  <c r="Q23" i="6"/>
  <c r="O23" i="6"/>
  <c r="M23" i="6"/>
  <c r="Z23" i="6"/>
  <c r="AC23" i="6" s="1"/>
  <c r="Y22" i="6"/>
  <c r="W22" i="6"/>
  <c r="U22" i="6"/>
  <c r="S22" i="6"/>
  <c r="Q22" i="6"/>
  <c r="O22" i="6"/>
  <c r="M22" i="6"/>
  <c r="Z22" i="6"/>
  <c r="AC22" i="6" s="1"/>
  <c r="Y21" i="6"/>
  <c r="W21" i="6"/>
  <c r="U21" i="6"/>
  <c r="S21" i="6"/>
  <c r="Q21" i="6"/>
  <c r="O21" i="6"/>
  <c r="M21" i="6"/>
  <c r="Z21" i="6"/>
  <c r="AC21" i="6" s="1"/>
  <c r="Y20" i="6"/>
  <c r="W20" i="6"/>
  <c r="U20" i="6"/>
  <c r="S20" i="6"/>
  <c r="Q20" i="6"/>
  <c r="O20" i="6"/>
  <c r="M20" i="6"/>
  <c r="Z20" i="6"/>
  <c r="AC20" i="6" s="1"/>
  <c r="Y19" i="6"/>
  <c r="W19" i="6"/>
  <c r="U19" i="6"/>
  <c r="S19" i="6"/>
  <c r="Q19" i="6"/>
  <c r="O19" i="6"/>
  <c r="M19" i="6"/>
  <c r="Z19" i="6"/>
  <c r="AC19" i="6" s="1"/>
  <c r="Y18" i="6"/>
  <c r="W18" i="6"/>
  <c r="U18" i="6"/>
  <c r="S18" i="6"/>
  <c r="Q18" i="6"/>
  <c r="Q25" i="6" s="1"/>
  <c r="O18" i="6"/>
  <c r="M18" i="6"/>
  <c r="M26" i="6" s="1"/>
  <c r="H25" i="6"/>
  <c r="Z18" i="6"/>
  <c r="AC18" i="6" s="1"/>
  <c r="Y15" i="6"/>
  <c r="W15" i="6"/>
  <c r="U15" i="6"/>
  <c r="S15" i="6"/>
  <c r="Q15" i="6"/>
  <c r="O15" i="6"/>
  <c r="M15" i="6"/>
  <c r="Z15" i="6"/>
  <c r="AC15" i="6" s="1"/>
  <c r="Y14" i="6"/>
  <c r="W14" i="6"/>
  <c r="U14" i="6"/>
  <c r="S14" i="6"/>
  <c r="Q14" i="6"/>
  <c r="O14" i="6"/>
  <c r="M14" i="6"/>
  <c r="Z14" i="6"/>
  <c r="AC14" i="6" s="1"/>
  <c r="Y13" i="6"/>
  <c r="W13" i="6"/>
  <c r="U13" i="6"/>
  <c r="S13" i="6"/>
  <c r="Q13" i="6"/>
  <c r="O13" i="6"/>
  <c r="M13" i="6"/>
  <c r="Z13" i="6"/>
  <c r="AC13" i="6" s="1"/>
  <c r="Y11" i="6"/>
  <c r="W11" i="6"/>
  <c r="U11" i="6"/>
  <c r="S11" i="6"/>
  <c r="Q11" i="6"/>
  <c r="O11" i="6"/>
  <c r="M11" i="6"/>
  <c r="Z11" i="6"/>
  <c r="AC11" i="6" s="1"/>
  <c r="Y10" i="6"/>
  <c r="W10" i="6"/>
  <c r="U10" i="6"/>
  <c r="S10" i="6"/>
  <c r="Q10" i="6"/>
  <c r="O10" i="6"/>
  <c r="M10" i="6"/>
  <c r="Z10" i="6"/>
  <c r="AC10" i="6" s="1"/>
  <c r="Q26" i="6"/>
  <c r="Y8" i="6"/>
  <c r="W8" i="6"/>
  <c r="U8" i="6"/>
  <c r="M8" i="6"/>
  <c r="Z8" i="6" s="1"/>
  <c r="AC8" i="6" s="1"/>
  <c r="Y7" i="6"/>
  <c r="W7" i="6"/>
  <c r="U7" i="6"/>
  <c r="S7" i="6"/>
  <c r="Q7" i="6"/>
  <c r="O7" i="6"/>
  <c r="M7" i="6"/>
  <c r="E26" i="6"/>
  <c r="Z7" i="6"/>
  <c r="AC7" i="6" s="1"/>
  <c r="H16" i="6"/>
  <c r="Z26" i="6"/>
  <c r="AC5" i="6"/>
  <c r="AI5" i="6" s="1"/>
  <c r="O26" i="6"/>
  <c r="S26" i="6"/>
  <c r="U26" i="6"/>
  <c r="W26" i="6"/>
  <c r="Y26" i="6"/>
  <c r="Y24" i="5"/>
  <c r="W24" i="5"/>
  <c r="U24" i="5"/>
  <c r="S24" i="5"/>
  <c r="Q24" i="5"/>
  <c r="O24" i="5"/>
  <c r="M24" i="5"/>
  <c r="Z24" i="5"/>
  <c r="AC24" i="5" s="1"/>
  <c r="Y23" i="5"/>
  <c r="W23" i="5"/>
  <c r="U23" i="5"/>
  <c r="S23" i="5"/>
  <c r="Q23" i="5"/>
  <c r="O23" i="5"/>
  <c r="M23" i="5"/>
  <c r="Z23" i="5"/>
  <c r="AC23" i="5" s="1"/>
  <c r="Y22" i="5"/>
  <c r="W22" i="5"/>
  <c r="U22" i="5"/>
  <c r="S22" i="5"/>
  <c r="Q22" i="5"/>
  <c r="O22" i="5"/>
  <c r="M22" i="5"/>
  <c r="Z22" i="5"/>
  <c r="AC22" i="5" s="1"/>
  <c r="Y21" i="5"/>
  <c r="W21" i="5"/>
  <c r="U21" i="5"/>
  <c r="S21" i="5"/>
  <c r="Q21" i="5"/>
  <c r="O21" i="5"/>
  <c r="M21" i="5"/>
  <c r="Z21" i="5"/>
  <c r="AC21" i="5" s="1"/>
  <c r="Y20" i="5"/>
  <c r="W20" i="5"/>
  <c r="U20" i="5"/>
  <c r="S20" i="5"/>
  <c r="Q20" i="5"/>
  <c r="O20" i="5"/>
  <c r="M20" i="5"/>
  <c r="Z20" i="5"/>
  <c r="AC20" i="5" s="1"/>
  <c r="Y19" i="5"/>
  <c r="W19" i="5"/>
  <c r="U19" i="5"/>
  <c r="S19" i="5"/>
  <c r="Q19" i="5"/>
  <c r="O19" i="5"/>
  <c r="M19" i="5"/>
  <c r="Z19" i="5"/>
  <c r="AC19" i="5" s="1"/>
  <c r="Y15" i="5"/>
  <c r="W15" i="5"/>
  <c r="U15" i="5"/>
  <c r="S15" i="5"/>
  <c r="Q15" i="5"/>
  <c r="O15" i="5"/>
  <c r="M15" i="5"/>
  <c r="Z15" i="5"/>
  <c r="AC15" i="5" s="1"/>
  <c r="Y18" i="5"/>
  <c r="W18" i="5"/>
  <c r="U18" i="5"/>
  <c r="S18" i="5"/>
  <c r="Q18" i="5"/>
  <c r="Q25" i="5" s="1"/>
  <c r="O18" i="5"/>
  <c r="M18" i="5"/>
  <c r="M26" i="5" s="1"/>
  <c r="H25" i="5"/>
  <c r="Z18" i="5"/>
  <c r="AC18" i="5" s="1"/>
  <c r="Y14" i="5"/>
  <c r="W14" i="5"/>
  <c r="U14" i="5"/>
  <c r="S14" i="5"/>
  <c r="Q14" i="5"/>
  <c r="O14" i="5"/>
  <c r="M14" i="5"/>
  <c r="Z14" i="5"/>
  <c r="AC14" i="5" s="1"/>
  <c r="Y13" i="5"/>
  <c r="W13" i="5"/>
  <c r="U13" i="5"/>
  <c r="S13" i="5"/>
  <c r="Q13" i="5"/>
  <c r="O13" i="5"/>
  <c r="M13" i="5"/>
  <c r="Z13" i="5"/>
  <c r="AC13" i="5" s="1"/>
  <c r="Y12" i="5"/>
  <c r="W12" i="5"/>
  <c r="U12" i="5"/>
  <c r="S12" i="5"/>
  <c r="Q12" i="5"/>
  <c r="O12" i="5"/>
  <c r="M12" i="5"/>
  <c r="Z12" i="5"/>
  <c r="AC12" i="5" s="1"/>
  <c r="Y11" i="5"/>
  <c r="W11" i="5"/>
  <c r="U11" i="5"/>
  <c r="S11" i="5"/>
  <c r="Q11" i="5"/>
  <c r="O11" i="5"/>
  <c r="Z11" i="5"/>
  <c r="AC11" i="5" s="1"/>
  <c r="Y9" i="5"/>
  <c r="W9" i="5"/>
  <c r="U9" i="5"/>
  <c r="S9" i="5"/>
  <c r="Q9" i="5"/>
  <c r="Q16" i="5" s="1"/>
  <c r="O9" i="5"/>
  <c r="M9" i="5"/>
  <c r="Z9" i="5"/>
  <c r="AC9" i="5" s="1"/>
  <c r="Y8" i="5"/>
  <c r="W8" i="5"/>
  <c r="U8" i="5"/>
  <c r="S8" i="5"/>
  <c r="Q8" i="5"/>
  <c r="Z8" i="5"/>
  <c r="AC8" i="5" s="1"/>
  <c r="Y7" i="5"/>
  <c r="W7" i="5"/>
  <c r="U7" i="5"/>
  <c r="S7" i="5"/>
  <c r="Q7" i="5"/>
  <c r="O7" i="5"/>
  <c r="M7" i="5"/>
  <c r="E26" i="5"/>
  <c r="Z7" i="5"/>
  <c r="AC7" i="5" s="1"/>
  <c r="H16" i="5"/>
  <c r="Z26" i="5"/>
  <c r="AC5" i="5"/>
  <c r="AG5" i="5" s="1"/>
  <c r="O26" i="5"/>
  <c r="Q26" i="5"/>
  <c r="S26" i="5"/>
  <c r="U26" i="5"/>
  <c r="W26" i="5"/>
  <c r="Y26" i="5"/>
  <c r="Y25" i="4"/>
  <c r="W25" i="4"/>
  <c r="U25" i="4"/>
  <c r="S25" i="4"/>
  <c r="Q25" i="4"/>
  <c r="O25" i="4"/>
  <c r="M25" i="4"/>
  <c r="Z25" i="4"/>
  <c r="AC25" i="4" s="1"/>
  <c r="Y24" i="4"/>
  <c r="W24" i="4"/>
  <c r="U24" i="4"/>
  <c r="S24" i="4"/>
  <c r="Q24" i="4"/>
  <c r="O24" i="4"/>
  <c r="M24" i="4"/>
  <c r="Z24" i="4"/>
  <c r="AC24" i="4" s="1"/>
  <c r="Y23" i="4"/>
  <c r="W23" i="4"/>
  <c r="U23" i="4"/>
  <c r="S23" i="4"/>
  <c r="Q23" i="4"/>
  <c r="O23" i="4"/>
  <c r="M23" i="4"/>
  <c r="Z23" i="4"/>
  <c r="AC23" i="4" s="1"/>
  <c r="Y22" i="4"/>
  <c r="W22" i="4"/>
  <c r="U22" i="4"/>
  <c r="S22" i="4"/>
  <c r="Q22" i="4"/>
  <c r="O22" i="4"/>
  <c r="M22" i="4"/>
  <c r="Z22" i="4"/>
  <c r="AC22" i="4" s="1"/>
  <c r="Y21" i="4"/>
  <c r="W21" i="4"/>
  <c r="U21" i="4"/>
  <c r="S21" i="4"/>
  <c r="Q21" i="4"/>
  <c r="O21" i="4"/>
  <c r="M21" i="4"/>
  <c r="Z21" i="4"/>
  <c r="AC21" i="4" s="1"/>
  <c r="Y20" i="4"/>
  <c r="W20" i="4"/>
  <c r="U20" i="4"/>
  <c r="S20" i="4"/>
  <c r="Q20" i="4"/>
  <c r="O20" i="4"/>
  <c r="M20" i="4"/>
  <c r="Z20" i="4"/>
  <c r="AC20" i="4" s="1"/>
  <c r="Y19" i="4"/>
  <c r="W19" i="4"/>
  <c r="U19" i="4"/>
  <c r="S19" i="4"/>
  <c r="Q19" i="4"/>
  <c r="O19" i="4"/>
  <c r="M19" i="4"/>
  <c r="Z19" i="4"/>
  <c r="Y18" i="4"/>
  <c r="W18" i="4"/>
  <c r="U18" i="4"/>
  <c r="S18" i="4"/>
  <c r="Q18" i="4"/>
  <c r="Q26" i="4" s="1"/>
  <c r="O18" i="4"/>
  <c r="M18" i="4"/>
  <c r="M27" i="4" s="1"/>
  <c r="H26" i="4"/>
  <c r="Z18" i="4"/>
  <c r="AC18" i="4" s="1"/>
  <c r="Y15" i="4"/>
  <c r="W15" i="4"/>
  <c r="U15" i="4"/>
  <c r="S15" i="4"/>
  <c r="Q15" i="4"/>
  <c r="O15" i="4"/>
  <c r="M15" i="4"/>
  <c r="Z15" i="4"/>
  <c r="Y14" i="4"/>
  <c r="W14" i="4"/>
  <c r="U14" i="4"/>
  <c r="S14" i="4"/>
  <c r="Q14" i="4"/>
  <c r="O14" i="4"/>
  <c r="Z14" i="4"/>
  <c r="AC14" i="4" s="1"/>
  <c r="Y12" i="4"/>
  <c r="W12" i="4"/>
  <c r="U12" i="4"/>
  <c r="S12" i="4"/>
  <c r="Q12" i="4"/>
  <c r="O12" i="4"/>
  <c r="M12" i="4"/>
  <c r="Z12" i="4"/>
  <c r="AC12" i="4" s="1"/>
  <c r="AC16" i="4" s="1"/>
  <c r="AC27" i="4" s="1"/>
  <c r="Y11" i="4"/>
  <c r="W11" i="4"/>
  <c r="U11" i="4"/>
  <c r="S11" i="4"/>
  <c r="Q11" i="4"/>
  <c r="O11" i="4"/>
  <c r="M11" i="4"/>
  <c r="Z11" i="4"/>
  <c r="AC11" i="4" s="1"/>
  <c r="Y9" i="4"/>
  <c r="W9" i="4"/>
  <c r="U9" i="4"/>
  <c r="S9" i="4"/>
  <c r="Q9" i="4"/>
  <c r="O9" i="4"/>
  <c r="M9" i="4"/>
  <c r="Z9" i="4"/>
  <c r="AC9" i="4" s="1"/>
  <c r="Y8" i="4"/>
  <c r="W8" i="4"/>
  <c r="U8" i="4"/>
  <c r="S8" i="4"/>
  <c r="Q8" i="4"/>
  <c r="O8" i="4"/>
  <c r="M8" i="4"/>
  <c r="Z8" i="4"/>
  <c r="Y7" i="4"/>
  <c r="W7" i="4"/>
  <c r="U7" i="4"/>
  <c r="S7" i="4"/>
  <c r="Q7" i="4"/>
  <c r="O7" i="4"/>
  <c r="M7" i="4"/>
  <c r="E27" i="4"/>
  <c r="Z7" i="4"/>
  <c r="AC7" i="4" s="1"/>
  <c r="H16" i="4"/>
  <c r="Z27" i="4"/>
  <c r="AC5" i="4"/>
  <c r="O27" i="4"/>
  <c r="Q16" i="4"/>
  <c r="Q27" i="4" s="1"/>
  <c r="S27" i="4"/>
  <c r="U27" i="4"/>
  <c r="W27" i="4"/>
  <c r="Y27" i="4"/>
  <c r="H16" i="3"/>
  <c r="Y25" i="3"/>
  <c r="W25" i="3"/>
  <c r="U25" i="3"/>
  <c r="S25" i="3"/>
  <c r="Q25" i="3"/>
  <c r="O25" i="3"/>
  <c r="M25" i="3"/>
  <c r="Z25" i="3"/>
  <c r="AC25" i="3" s="1"/>
  <c r="Y24" i="3"/>
  <c r="W24" i="3"/>
  <c r="U24" i="3"/>
  <c r="S24" i="3"/>
  <c r="Q24" i="3"/>
  <c r="O24" i="3"/>
  <c r="M24" i="3"/>
  <c r="Z24" i="3"/>
  <c r="AC24" i="3" s="1"/>
  <c r="Y23" i="3"/>
  <c r="W23" i="3"/>
  <c r="U23" i="3"/>
  <c r="S23" i="3"/>
  <c r="Q23" i="3"/>
  <c r="O23" i="3"/>
  <c r="M23" i="3"/>
  <c r="Z23" i="3"/>
  <c r="AC23" i="3" s="1"/>
  <c r="Y22" i="3"/>
  <c r="W22" i="3"/>
  <c r="U22" i="3"/>
  <c r="S22" i="3"/>
  <c r="Q22" i="3"/>
  <c r="O22" i="3"/>
  <c r="M22" i="3"/>
  <c r="Z22" i="3"/>
  <c r="AC22" i="3" s="1"/>
  <c r="Y21" i="3"/>
  <c r="W21" i="3"/>
  <c r="U21" i="3"/>
  <c r="S21" i="3"/>
  <c r="Q21" i="3"/>
  <c r="O21" i="3"/>
  <c r="M21" i="3"/>
  <c r="Z21" i="3"/>
  <c r="AC21" i="3" s="1"/>
  <c r="Y20" i="3"/>
  <c r="W20" i="3"/>
  <c r="U20" i="3"/>
  <c r="S20" i="3"/>
  <c r="Q20" i="3"/>
  <c r="O20" i="3"/>
  <c r="M20" i="3"/>
  <c r="Z20" i="3"/>
  <c r="AC20" i="3" s="1"/>
  <c r="Y19" i="3"/>
  <c r="W19" i="3"/>
  <c r="U19" i="3"/>
  <c r="S19" i="3"/>
  <c r="Q19" i="3"/>
  <c r="O19" i="3"/>
  <c r="M19" i="3"/>
  <c r="Z19" i="3"/>
  <c r="AC19" i="3" s="1"/>
  <c r="Y18" i="3"/>
  <c r="W18" i="3"/>
  <c r="U18" i="3"/>
  <c r="S18" i="3"/>
  <c r="Q18" i="3"/>
  <c r="Q26" i="3" s="1"/>
  <c r="O18" i="3"/>
  <c r="M18" i="3"/>
  <c r="M27" i="3" s="1"/>
  <c r="H26" i="3"/>
  <c r="Z18" i="3"/>
  <c r="AC18" i="3" s="1"/>
  <c r="AC26" i="3" s="1"/>
  <c r="Y15" i="3"/>
  <c r="W15" i="3"/>
  <c r="U15" i="3"/>
  <c r="S15" i="3"/>
  <c r="Q15" i="3"/>
  <c r="O15" i="3"/>
  <c r="M15" i="3"/>
  <c r="Z15" i="3"/>
  <c r="AC15" i="3" s="1"/>
  <c r="Y14" i="3"/>
  <c r="W14" i="3"/>
  <c r="U14" i="3"/>
  <c r="S14" i="3"/>
  <c r="Q14" i="3"/>
  <c r="O14" i="3"/>
  <c r="M14" i="3"/>
  <c r="Z14" i="3"/>
  <c r="AC14" i="3" s="1"/>
  <c r="Y12" i="3"/>
  <c r="W12" i="3"/>
  <c r="U12" i="3"/>
  <c r="S12" i="3"/>
  <c r="Q12" i="3"/>
  <c r="O12" i="3"/>
  <c r="M12" i="3"/>
  <c r="Z12" i="3"/>
  <c r="AC12" i="3" s="1"/>
  <c r="Y11" i="3"/>
  <c r="W11" i="3"/>
  <c r="U11" i="3"/>
  <c r="S11" i="3"/>
  <c r="Q11" i="3"/>
  <c r="O11" i="3"/>
  <c r="M11" i="3"/>
  <c r="Z11" i="3"/>
  <c r="AC11" i="3" s="1"/>
  <c r="Y9" i="3"/>
  <c r="W9" i="3"/>
  <c r="U9" i="3"/>
  <c r="S9" i="3"/>
  <c r="Q9" i="3"/>
  <c r="O9" i="3"/>
  <c r="AC9" i="3"/>
  <c r="Y8" i="3"/>
  <c r="W8" i="3"/>
  <c r="U8" i="3"/>
  <c r="S8" i="3"/>
  <c r="Q8" i="3"/>
  <c r="O8" i="3"/>
  <c r="Z8" i="3"/>
  <c r="AC8" i="3" s="1"/>
  <c r="Y7" i="3"/>
  <c r="W7" i="3"/>
  <c r="U7" i="3"/>
  <c r="S7" i="3"/>
  <c r="Q7" i="3"/>
  <c r="O7" i="3"/>
  <c r="M7" i="3"/>
  <c r="E27" i="3"/>
  <c r="Z7" i="3"/>
  <c r="AC7" i="3" s="1"/>
  <c r="AC28" i="3"/>
  <c r="Z27" i="3"/>
  <c r="AC5" i="3"/>
  <c r="AC16" i="3" s="1"/>
  <c r="AC27" i="3" s="1"/>
  <c r="O27" i="3"/>
  <c r="S27" i="3"/>
  <c r="U27" i="3"/>
  <c r="W27" i="3"/>
  <c r="Y27" i="3"/>
  <c r="Q26" i="1"/>
  <c r="AC25" i="1"/>
  <c r="M26" i="1"/>
  <c r="H15" i="1"/>
  <c r="O26" i="1"/>
  <c r="S26" i="1"/>
  <c r="U26" i="1"/>
  <c r="W26" i="1"/>
  <c r="Y26" i="1"/>
  <c r="Z12" i="1"/>
  <c r="AC12" i="1"/>
  <c r="Z13" i="1"/>
  <c r="AC13" i="1"/>
  <c r="Z14" i="1"/>
  <c r="AC14" i="1"/>
  <c r="Z9" i="1"/>
  <c r="AC9" i="1"/>
  <c r="Z10" i="1"/>
  <c r="AC10" i="1"/>
  <c r="Z11" i="1"/>
  <c r="AC11" i="1"/>
  <c r="Z8" i="1"/>
  <c r="AC8" i="1"/>
  <c r="Z7" i="1"/>
  <c r="Z26" i="1" s="1"/>
  <c r="AC7" i="1"/>
  <c r="AC27" i="1" s="1"/>
  <c r="AC15" i="1"/>
  <c r="AC26" i="1"/>
  <c r="AC13" i="9" l="1"/>
  <c r="AC23" i="9" s="1"/>
  <c r="AH5" i="9"/>
  <c r="AC15" i="7"/>
  <c r="AC25" i="7" s="1"/>
  <c r="AG5" i="7"/>
  <c r="AC14" i="8"/>
  <c r="AH5" i="8"/>
  <c r="AC24" i="8"/>
  <c r="AC16" i="6"/>
  <c r="AC26" i="6" s="1"/>
  <c r="AC16" i="5"/>
  <c r="AC25" i="5"/>
  <c r="AC26" i="5"/>
  <c r="Q16" i="3"/>
  <c r="Q2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ALFAMONTAJES Y CUBIERTAS S.A.S</author>
  </authors>
  <commentList>
    <comment ref="AD14" authorId="0" shapeId="0" xr:uid="{42777C85-7F3E-4B86-A619-1B059D6F777F}">
      <text>
        <r>
          <rPr>
            <sz val="11"/>
            <color theme="1"/>
            <rFont val="Calibri"/>
            <family val="2"/>
            <scheme val="minor"/>
          </rPr>
          <t>ALFAMONTAJES Y CUBIERTAS S.A.S:
Licencia conducción $740.000 para descontar en un año. $61.600 todos los 15 de c/mes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ALFAMONTAJES Y CUBIERTAS S.A.S</author>
  </authors>
  <commentList>
    <comment ref="AD15" authorId="0" shapeId="0" xr:uid="{9B8BFC99-ED89-4E46-B505-12526680223C}">
      <text>
        <r>
          <rPr>
            <sz val="11"/>
            <color theme="1"/>
            <rFont val="Calibri"/>
            <family val="2"/>
            <scheme val="minor"/>
          </rPr>
          <t>ALFAMONTAJES Y CUBIERTAS S.A.S:
Licencia conducción $740.000 para descontar en un año. $61.600 todos los 15 de c/mes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ALFAMONTAJES Y CUBIERTAS S.A.S</author>
  </authors>
  <commentList>
    <comment ref="AD7" authorId="0" shapeId="0" xr:uid="{D8EF4D7F-051D-47EE-9AFA-580AC2945E3B}">
      <text>
        <r>
          <rPr>
            <sz val="11"/>
            <color theme="1"/>
            <rFont val="Calibri"/>
            <family val="2"/>
            <scheme val="minor"/>
          </rPr>
          <t>ALFAMONTAJES Y CUBIERTAS S.A.S:
PRESTAMO 11 DE FEBRERO</t>
        </r>
      </text>
    </comment>
    <comment ref="AB8" authorId="0" shapeId="0" xr:uid="{5CFA59A7-6FA2-4FB0-82AB-E03D3A782F00}">
      <text>
        <r>
          <rPr>
            <sz val="11"/>
            <color theme="1"/>
            <rFont val="Calibri"/>
            <family val="2"/>
            <scheme val="minor"/>
          </rPr>
          <t>ALFAMONTAJES Y CUBIERTAS S.A.S:
Vacaciones 528</t>
        </r>
      </text>
    </comment>
    <comment ref="AD11" authorId="0" shapeId="0" xr:uid="{CAAD7025-F35D-40E2-8024-89C95DF62895}">
      <text>
        <r>
          <rPr>
            <sz val="11"/>
            <color theme="1"/>
            <rFont val="Calibri"/>
            <family val="2"/>
            <scheme val="minor"/>
          </rPr>
          <t>ALFAMONTAJES Y CUBIERTAS S.A.S:
PRESTAMO 10 DE FEBRERO</t>
        </r>
      </text>
    </comment>
    <comment ref="AD14" authorId="0" shapeId="0" xr:uid="{46D02A49-BCAE-4462-9130-B034CA2A9B16}">
      <text>
        <r>
          <rPr>
            <sz val="11"/>
            <color theme="1"/>
            <rFont val="Calibri"/>
            <family val="2"/>
            <scheme val="minor"/>
          </rPr>
          <t>ALFAMONTAJES Y CUBIERTAS S.A.S:
PRESTAMO 10 DE FEBRERO
SE DEBE DESCONTAR EN LA SIGUIENTE QUINCENA</t>
        </r>
      </text>
    </comment>
    <comment ref="AD15" authorId="0" shapeId="0" xr:uid="{38387F8F-1C18-42C9-8EC7-B6E6B92DA571}">
      <text>
        <r>
          <rPr>
            <sz val="11"/>
            <color theme="1"/>
            <rFont val="Calibri"/>
            <family val="2"/>
            <scheme val="minor"/>
          </rPr>
          <t>ALFAMONTAJES Y CUBIERTAS S.A.S:
Licencia conducción $740.000 para descontar en un año. $61.600 todos los 15 de c/mes</t>
        </r>
      </text>
    </comment>
    <comment ref="AF15" authorId="0" shapeId="0" xr:uid="{77FCC2B5-1178-4EB0-8DD7-082E79D18A46}">
      <text>
        <r>
          <rPr>
            <sz val="11"/>
            <color theme="1"/>
            <rFont val="Calibri"/>
            <family val="2"/>
            <scheme val="minor"/>
          </rPr>
          <t>ALFAMONTAJES Y CUBIERTAS S.A.S:
PRESTAMO 11 DE FEBRERO</t>
        </r>
      </text>
    </comment>
    <comment ref="AD19" authorId="0" shapeId="0" xr:uid="{7A12AF37-306D-4A64-B746-253E919673C7}">
      <text>
        <r>
          <rPr>
            <sz val="11"/>
            <color theme="1"/>
            <rFont val="Calibri"/>
            <family val="2"/>
            <scheme val="minor"/>
          </rPr>
          <t>ALFAMONTAJES Y CUBIERTAS S.A.S:
PRESTAMO 10 DE FEBRERO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ALFAMONTAJES Y CUBIERTAS S.A.S</author>
  </authors>
  <commentList>
    <comment ref="AD13" authorId="0" shapeId="0" xr:uid="{48443137-6FFA-4FDE-8ABD-4FEF5D496B0D}">
      <text>
        <r>
          <rPr>
            <sz val="11"/>
            <color theme="1"/>
            <rFont val="Calibri"/>
            <family val="2"/>
            <scheme val="minor"/>
          </rPr>
          <t>ALFAMONTAJES Y CUBIERTAS S.A.S:
PRESTAMO 10 DE FEBRERO
SE DEBE DESCONTAR EN LA SIGUIENTE QUINCENA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ALFAMONTAJES Y CUBIERTAS S.A.S</author>
  </authors>
  <commentList>
    <comment ref="AF5" authorId="0" shapeId="0" xr:uid="{7EDA8CB0-5039-4314-98CE-73C57BB6ABF1}">
      <text>
        <r>
          <rPr>
            <sz val="11"/>
            <color theme="1"/>
            <rFont val="Calibri"/>
            <family val="2"/>
            <scheme val="minor"/>
          </rPr>
          <t xml:space="preserve">ALFAMONTAJES Y CUBIERTAS S.A.S:
auxilio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ALFAMONTAJES Y CUBIERTAS S.A.S</author>
  </authors>
  <commentList>
    <comment ref="J10" authorId="0" shapeId="0" xr:uid="{3BB1E80D-29BB-48DF-9267-F6BBBA3E3922}">
      <text>
        <r>
          <rPr>
            <sz val="11"/>
            <color theme="1"/>
            <rFont val="Calibri"/>
            <family val="2"/>
            <scheme val="minor"/>
          </rPr>
          <t>ALFAMONTAJES Y CUBIERTAS S.A.S:
Liquidacióm</t>
        </r>
      </text>
    </comment>
    <comment ref="AD13" authorId="0" shapeId="0" xr:uid="{1EE4D19B-A18F-45D0-B154-E43E674468AC}">
      <text>
        <r>
          <rPr>
            <sz val="11"/>
            <color theme="1"/>
            <rFont val="Calibri"/>
            <family val="2"/>
            <scheme val="minor"/>
          </rPr>
          <t xml:space="preserve">ALFAMONTAJES Y CUBIERTAS S.A.S:
DESCONTAR EN LA PROXIMA QUINCENA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ALFAMONTAJES Y CUBIERTAS S.A.S</author>
  </authors>
  <commentList>
    <comment ref="AD12" authorId="0" shapeId="0" xr:uid="{FFAA207E-CC5E-4516-8D57-D6604C2379FB}">
      <text>
        <r>
          <rPr>
            <sz val="11"/>
            <color theme="1"/>
            <rFont val="Calibri"/>
            <family val="2"/>
            <scheme val="minor"/>
          </rPr>
          <t xml:space="preserve">ALFAMONTAJES Y CUBIERTAS S.A.S:
DESCONTAR EN LA PROXIMA QUINCENA </t>
        </r>
      </text>
    </comment>
  </commentList>
</comments>
</file>

<file path=xl/sharedStrings.xml><?xml version="1.0" encoding="utf-8"?>
<sst xmlns="http://schemas.openxmlformats.org/spreadsheetml/2006/main" count="545" uniqueCount="90">
  <si>
    <t xml:space="preserve">RELACIÓN DE PAGO DE NOMINA </t>
  </si>
  <si>
    <t>QUINCENA DEL 01 AL 15 DEL ENE 2026</t>
  </si>
  <si>
    <t>ALFA MONTAJES Y CUBIERTAS S.A.S</t>
  </si>
  <si>
    <t xml:space="preserve">PRESTAMOS </t>
  </si>
  <si>
    <t>NOMBRE</t>
  </si>
  <si>
    <t>CC</t>
  </si>
  <si>
    <t>Nº CUENTA AHORRO BDB O NEQUI</t>
  </si>
  <si>
    <t>SALARIO  MENSUAL</t>
  </si>
  <si>
    <t>VR./ HORA</t>
  </si>
  <si>
    <t>SALARIO / DIA</t>
  </si>
  <si>
    <t>DIAS LABORADOS</t>
  </si>
  <si>
    <t>DEVENGADO</t>
  </si>
  <si>
    <t>TRANSPORTE</t>
  </si>
  <si>
    <t>PRIMA JUN-DIC/ VACACIONES/
LIQUIDACION CONTRATO</t>
  </si>
  <si>
    <t>SALUDY PENSION</t>
  </si>
  <si>
    <t>HED</t>
  </si>
  <si>
    <t>HEN</t>
  </si>
  <si>
    <t>RD/RF</t>
  </si>
  <si>
    <t>HEFD</t>
  </si>
  <si>
    <t>RNDF</t>
  </si>
  <si>
    <t xml:space="preserve">HEDFN </t>
  </si>
  <si>
    <t>RN</t>
  </si>
  <si>
    <t>SUBTOTAL</t>
  </si>
  <si>
    <t>PRESTAMOS A AMC O TPTES.</t>
  </si>
  <si>
    <t>DESCUENTO PRESTAMOS</t>
  </si>
  <si>
    <t>TOTAL A PAGAR</t>
  </si>
  <si>
    <t>PRESTAMOS X AMC</t>
  </si>
  <si>
    <t>NUEVO SALDO</t>
  </si>
  <si>
    <t>LUIS EMILIO RODRIGUEZ BENAVIDES</t>
  </si>
  <si>
    <t>3172796043 Nequi</t>
  </si>
  <si>
    <t>RIGOBERTO CASTRO REINA</t>
  </si>
  <si>
    <t>ALEJANDRO RUIZ RAMIREZ</t>
  </si>
  <si>
    <t>DAHIANA CASTILLO JARAMILLO</t>
  </si>
  <si>
    <t>KAREN JULIANA MONDRAGON CASTILLO</t>
  </si>
  <si>
    <t>ANDRES MONTOYA CARTAGENA</t>
  </si>
  <si>
    <t>JAMINGTON ANGULO MONDRAGON</t>
  </si>
  <si>
    <t>WANDER BRANDOR PACHECO MOLINA</t>
  </si>
  <si>
    <t>PT. 6.466.558</t>
  </si>
  <si>
    <t>ARMANDO ALEGRIA VENTE</t>
  </si>
  <si>
    <t>LUIS HERNANDO BAZAN CIFUENTES</t>
  </si>
  <si>
    <t>3217036094 Nequi</t>
  </si>
  <si>
    <t>$ 432.000
 $ 180,000</t>
  </si>
  <si>
    <t>$ 370.400
 $ 90.000</t>
  </si>
  <si>
    <t>BRENDA YINETH SAA MOSQUERA</t>
  </si>
  <si>
    <t>HECTOR CAMILO TORRES DIAZ</t>
  </si>
  <si>
    <t>ERNEY ARBOLEDA TORRES</t>
  </si>
  <si>
    <t>3113812718 Nequi</t>
  </si>
  <si>
    <t>PABLO ANTONIO VALENCIA CAICEDO</t>
  </si>
  <si>
    <t>DANIEL RAMOS MONTAÑO</t>
  </si>
  <si>
    <t>MANUEL DAVID BAZAN CIFUENTES</t>
  </si>
  <si>
    <t>JOSE YIMINSON RIASCOS SINISTERRA</t>
  </si>
  <si>
    <t>JOSHUA ENRIQUE ARAGON SINISTERRA</t>
  </si>
  <si>
    <t xml:space="preserve">TOTALES </t>
  </si>
  <si>
    <t>|</t>
  </si>
  <si>
    <t>Nota: Los que devengan SMMLV o se les paga quincena completa. Si no asisten a laborar un dia ordinario se les decuentan también el dominical de la semana</t>
  </si>
  <si>
    <t>SMMLV 2026</t>
  </si>
  <si>
    <t>IPC</t>
  </si>
  <si>
    <t>TRANSPORTE 2026</t>
  </si>
  <si>
    <t>Quedan con el Mínimo = Karen, Armando, Erney, Pablo, Manuel y Yiminson.</t>
  </si>
  <si>
    <t>Quedan con $100.000 más del SMMLV :
Wander, Jamilton, Alejandro, Bazan y Dahiana.</t>
  </si>
  <si>
    <r>
      <t>¿Cuál es el porcentaje que se descuenta de salud y pensión?</t>
    </r>
    <r>
      <rPr>
        <b/>
        <sz val="10"/>
        <color rgb="FF202124"/>
        <rFont val="Aptos Display"/>
      </rPr>
      <t xml:space="preserve"> 
el 4 % el trabajador</t>
    </r>
    <r>
      <rPr>
        <sz val="10"/>
        <color rgb="FF202124"/>
        <rFont val="Aptos Display"/>
      </rPr>
      <t>, ese es el porcentaje que se le debe descontar en el momento en el que recibe su salario</t>
    </r>
  </si>
  <si>
    <t>La jornada diurna es la jornada de trabajo que se desarrolla durante el día, que en Colombia va desde las 6:00am de la mañana hasta las 7:00pm de la noche.</t>
  </si>
  <si>
    <t>Al frente hay un ejemplo de 8 HE Dominicales Diurnas. Que se dan como Extras porque ya cumplió su jornada máxima semanal de 44 hrs</t>
  </si>
  <si>
    <t>QUINCENA DEL 16 AL 31 DEL ENE 2026</t>
  </si>
  <si>
    <t>Intereses Cesántias</t>
  </si>
  <si>
    <t>SALUD Y PENSION</t>
  </si>
  <si>
    <t>WANDER BRANDOR PACHECO MOLINA (INCAPACIDAD)</t>
  </si>
  <si>
    <t>QUINCENA DEL 1 AL 15 FEB 2026</t>
  </si>
  <si>
    <t>VACACIONES</t>
  </si>
  <si>
    <t>SE DEBE DESCONTAR 150,000 QUINCENALES INICIANDO EL 15-02-2026</t>
  </si>
  <si>
    <t>Pdte por pagar</t>
  </si>
  <si>
    <t>QUINCENA DEL 16 AL 28 FEB 2026</t>
  </si>
  <si>
    <t>LIQUIDACIÓN/ VACACIONES</t>
  </si>
  <si>
    <t>$ 100.000
$150.000
$ 50.000</t>
  </si>
  <si>
    <t>SE DEBE DESCONTAR 150,000 QUINCENALES INICIANDO EL 15-02-2026 (Licencia) $1.190.000</t>
  </si>
  <si>
    <t>Vr. Sin Andres</t>
  </si>
  <si>
    <t xml:space="preserve"> </t>
  </si>
  <si>
    <t>m</t>
  </si>
  <si>
    <t>Vr. Sin Andrés</t>
  </si>
  <si>
    <t>QUINCENA DEL 01 AL 15 DE MARZO 2026</t>
  </si>
  <si>
    <t>Bono $1.100.000</t>
  </si>
  <si>
    <t>Bono $1,000,000</t>
  </si>
  <si>
    <t>DESCONTAR 100,000 PARA LA QUINCENA DE ABRIL</t>
  </si>
  <si>
    <t>rigo y luis Emilio quedan con el valor de 132,000 x día 26,400</t>
  </si>
  <si>
    <t>QUINCENA DEL 15 AL 30 DE ABRIL 2026</t>
  </si>
  <si>
    <t>INCREMENTO 23% AÑO 2026</t>
  </si>
  <si>
    <t>TOTAL</t>
  </si>
  <si>
    <t>Salario Neto</t>
  </si>
  <si>
    <t>Aux Tpte</t>
  </si>
  <si>
    <t>Total 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</si>
</sst>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€&quot;_-;\-* #,##0.00\ &quot;€&quot;_-;_-* &quot;-&quot;??\ &quot;€&quot;_-;_-@_-"/>
    <numFmt numFmtId="164" formatCode="_-[$$-240A]\ * #,##0_-;\-[$$-240A]\ * #,##0_-;_-[$$-240A]\ * &quot;-&quot;??_-;_-@_-"/>
    <numFmt numFmtId="165" formatCode="_(&quot;$&quot;\ * #,##0_);_(&quot;$&quot;\ * \(#,##0\);_(&quot;$&quot;\ * &quot;-&quot;??_);_(@_)"/>
    <numFmt numFmtId="166" formatCode="0.0"/>
    <numFmt numFmtId="167" formatCode="_-[$$-240A]\ * #,##0_-;\-[$$-240A]\ * #,##0_-;_-[$$-240A]\ * &quot;-&quot;_-;_-@_-"/>
    <numFmt numFmtId="168" formatCode="_-&quot;$&quot;\ * #,##0_-;\-&quot;$&quot;\ * #,##0_-;_-&quot;$&quot;\ * &quot;-&quot;_-;_-@_-"/>
    <numFmt numFmtId="169" formatCode="_-[$$-240A]\ * #,##0.00_-;\-[$$-240A]\ * #,##0.00_-;_-[$$-240A]\ * &quot;-&quot;??_-;_-@_-"/>
    <numFmt numFmtId="170" formatCode="_(&quot;$&quot;\ * #,##0.0_);_(&quot;$&quot;\ * \(#,##0.0\);_(&quot;$&quot;\ * &quot;-&quot;??_);_(@_)"/>
    <numFmt numFmtId="171" formatCode="_-[$$-409]* #,##0_ ;_-[$$-409]* \-#,##0\ ;_-[$$-409]* &quot;-&quot;??_ ;_-@_ "/>
    <numFmt numFmtId="172" formatCode="&quot;$&quot;\ #,##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 Display"/>
    </font>
    <font>
      <sz val="11"/>
      <color theme="1"/>
      <name val="Aptos Display"/>
    </font>
    <font>
      <b/>
      <sz val="10"/>
      <color rgb="FF000000"/>
      <name val="Aptos Display"/>
    </font>
    <font>
      <b/>
      <sz val="10"/>
      <color rgb="FFFF0000"/>
      <name val="Aptos Display"/>
    </font>
    <font>
      <b/>
      <sz val="10"/>
      <color theme="1"/>
      <name val="Aptos Display"/>
    </font>
    <font>
      <sz val="10"/>
      <color rgb="FF000000"/>
      <name val="Aptos Display"/>
    </font>
    <font>
      <sz val="11"/>
      <color rgb="FF000000"/>
      <name val="Aptos Display"/>
    </font>
    <font>
      <sz val="11"/>
      <color rgb="FFFF0000"/>
      <name val="Aptos Display"/>
    </font>
    <font>
      <sz val="10"/>
      <color theme="0"/>
      <name val="Aptos Display"/>
    </font>
    <font>
      <b/>
      <sz val="10"/>
      <name val="Aptos Display"/>
    </font>
    <font>
      <sz val="10"/>
      <color theme="5"/>
      <name val="Aptos Display"/>
    </font>
    <font>
      <b/>
      <i/>
      <sz val="10"/>
      <color theme="1" tint="0.499984740745262"/>
      <name val="Aptos Display"/>
    </font>
    <font>
      <sz val="10"/>
      <color theme="1"/>
      <name val="Aptos Display"/>
    </font>
    <font>
      <sz val="10"/>
      <color rgb="FFFF0000"/>
      <name val="Aptos Display"/>
    </font>
    <font>
      <sz val="10"/>
      <color rgb="FF202124"/>
      <name val="Aptos Display"/>
    </font>
    <font>
      <b/>
      <sz val="10"/>
      <color rgb="FF202124"/>
      <name val="Aptos Display"/>
    </font>
    <font>
      <b/>
      <i/>
      <sz val="16"/>
      <color theme="1" tint="0.499984740745262"/>
      <name val="Aptos Display"/>
    </font>
    <font>
      <b/>
      <i/>
      <sz val="11"/>
      <color theme="1" tint="0.499984740745262"/>
      <name val="Aptos Display"/>
    </font>
    <font>
      <sz val="9"/>
      <color rgb="FF000000"/>
      <name val="Arial"/>
      <family val="2"/>
    </font>
    <font>
      <sz val="9"/>
      <color rgb="FF000000"/>
      <name val="Aptos Display"/>
    </font>
    <font>
      <sz val="10"/>
      <color rgb="FFFFFF00"/>
      <name val="Aptos Display"/>
    </font>
    <font>
      <sz val="10"/>
      <color rgb="FF000000"/>
      <name val="Arial"/>
      <family val="2"/>
    </font>
    <font>
      <sz val="10"/>
      <color rgb="FF000000"/>
      <name val="Aptos"/>
    </font>
    <font>
      <sz val="8"/>
      <color theme="1"/>
      <name val="Aptos Display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79CFF"/>
        <bgColor indexed="64"/>
      </patternFill>
    </fill>
    <fill>
      <patternFill patternType="solid">
        <fgColor rgb="FFA3FFF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7">
    <xf numFmtId="0" fontId="0" fillId="0" borderId="0" xfId="0"/>
    <xf numFmtId="165" fontId="0" fillId="0" borderId="0" xfId="0" applyNumberFormat="1"/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9" fontId="4" fillId="5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9" fontId="4" fillId="6" borderId="2" xfId="0" applyNumberFormat="1" applyFont="1" applyFill="1" applyBorder="1" applyAlignment="1">
      <alignment horizontal="center" vertical="center" wrapText="1"/>
    </xf>
    <xf numFmtId="9" fontId="4" fillId="4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9" fontId="4" fillId="7" borderId="2" xfId="0" applyNumberFormat="1" applyFont="1" applyFill="1" applyBorder="1" applyAlignment="1">
      <alignment horizontal="center" vertical="center" wrapText="1"/>
    </xf>
    <xf numFmtId="9" fontId="4" fillId="8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0" borderId="0" xfId="0" applyFont="1"/>
    <xf numFmtId="0" fontId="7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11" fillId="2" borderId="2" xfId="0" applyFont="1" applyFill="1" applyBorder="1"/>
    <xf numFmtId="18" fontId="9" fillId="0" borderId="0" xfId="0" applyNumberFormat="1" applyFont="1"/>
    <xf numFmtId="172" fontId="9" fillId="0" borderId="0" xfId="0" applyNumberFormat="1" applyFont="1"/>
    <xf numFmtId="18" fontId="9" fillId="12" borderId="0" xfId="0" applyNumberFormat="1" applyFont="1" applyFill="1"/>
    <xf numFmtId="172" fontId="9" fillId="12" borderId="0" xfId="0" applyNumberFormat="1" applyFont="1" applyFill="1"/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wrapText="1"/>
    </xf>
    <xf numFmtId="3" fontId="7" fillId="2" borderId="4" xfId="0" applyNumberFormat="1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right" vertical="center" wrapText="1"/>
    </xf>
    <xf numFmtId="164" fontId="7" fillId="2" borderId="2" xfId="1" applyNumberFormat="1" applyFont="1" applyFill="1" applyBorder="1" applyAlignment="1">
      <alignment vertical="center"/>
    </xf>
    <xf numFmtId="165" fontId="7" fillId="2" borderId="2" xfId="2" applyNumberFormat="1" applyFont="1" applyFill="1" applyBorder="1" applyAlignment="1">
      <alignment vertical="center"/>
    </xf>
    <xf numFmtId="166" fontId="7" fillId="2" borderId="2" xfId="2" applyNumberFormat="1" applyFont="1" applyFill="1" applyBorder="1" applyAlignment="1">
      <alignment horizontal="center" vertical="center"/>
    </xf>
    <xf numFmtId="165" fontId="7" fillId="4" borderId="2" xfId="2" applyNumberFormat="1" applyFont="1" applyFill="1" applyBorder="1" applyAlignment="1">
      <alignment vertical="center"/>
    </xf>
    <xf numFmtId="0" fontId="14" fillId="2" borderId="2" xfId="2" applyNumberFormat="1" applyFont="1" applyFill="1" applyBorder="1" applyAlignment="1">
      <alignment vertical="center"/>
    </xf>
    <xf numFmtId="167" fontId="7" fillId="2" borderId="2" xfId="2" applyNumberFormat="1" applyFont="1" applyFill="1" applyBorder="1" applyAlignment="1">
      <alignment horizontal="center" vertical="center"/>
    </xf>
    <xf numFmtId="0" fontId="15" fillId="2" borderId="2" xfId="2" applyNumberFormat="1" applyFont="1" applyFill="1" applyBorder="1" applyAlignment="1">
      <alignment vertical="center"/>
    </xf>
    <xf numFmtId="0" fontId="7" fillId="2" borderId="2" xfId="2" applyNumberFormat="1" applyFont="1" applyFill="1" applyBorder="1" applyAlignment="1">
      <alignment horizontal="center" vertical="center"/>
    </xf>
    <xf numFmtId="0" fontId="7" fillId="2" borderId="2" xfId="2" applyNumberFormat="1" applyFont="1" applyFill="1" applyBorder="1" applyAlignment="1">
      <alignment vertical="center"/>
    </xf>
    <xf numFmtId="165" fontId="7" fillId="2" borderId="2" xfId="0" applyNumberFormat="1" applyFont="1" applyFill="1" applyBorder="1" applyAlignment="1">
      <alignment horizontal="center" vertical="center" wrapText="1"/>
    </xf>
    <xf numFmtId="168" fontId="14" fillId="0" borderId="0" xfId="0" applyNumberFormat="1" applyFont="1" applyAlignment="1">
      <alignment horizontal="center" vertical="center" wrapText="1"/>
    </xf>
    <xf numFmtId="169" fontId="7" fillId="2" borderId="2" xfId="0" applyNumberFormat="1" applyFont="1" applyFill="1" applyBorder="1" applyAlignment="1">
      <alignment horizontal="left" vertical="center"/>
    </xf>
    <xf numFmtId="0" fontId="7" fillId="11" borderId="3" xfId="0" applyFont="1" applyFill="1" applyBorder="1" applyAlignment="1">
      <alignment horizontal="right" vertical="center"/>
    </xf>
    <xf numFmtId="166" fontId="7" fillId="2" borderId="2" xfId="0" applyNumberFormat="1" applyFont="1" applyFill="1" applyBorder="1" applyAlignment="1">
      <alignment horizontal="center" vertical="center"/>
    </xf>
    <xf numFmtId="165" fontId="7" fillId="2" borderId="2" xfId="2" applyNumberFormat="1" applyFont="1" applyFill="1" applyBorder="1" applyAlignment="1">
      <alignment horizontal="right" vertical="center"/>
    </xf>
    <xf numFmtId="165" fontId="7" fillId="2" borderId="2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left" vertical="center" wrapText="1"/>
    </xf>
    <xf numFmtId="0" fontId="14" fillId="2" borderId="2" xfId="0" applyFont="1" applyFill="1" applyBorder="1"/>
    <xf numFmtId="0" fontId="7" fillId="2" borderId="3" xfId="0" applyFont="1" applyFill="1" applyBorder="1" applyAlignment="1">
      <alignment horizontal="right" vertical="center"/>
    </xf>
    <xf numFmtId="165" fontId="7" fillId="2" borderId="6" xfId="2" applyNumberFormat="1" applyFont="1" applyFill="1" applyBorder="1" applyAlignment="1">
      <alignment vertical="center"/>
    </xf>
    <xf numFmtId="165" fontId="7" fillId="11" borderId="2" xfId="2" applyNumberFormat="1" applyFont="1" applyFill="1" applyBorder="1" applyAlignment="1">
      <alignment vertical="center"/>
    </xf>
    <xf numFmtId="165" fontId="7" fillId="2" borderId="2" xfId="2" applyNumberFormat="1" applyFont="1" applyFill="1" applyBorder="1" applyAlignment="1">
      <alignment vertical="center" wrapText="1"/>
    </xf>
    <xf numFmtId="0" fontId="7" fillId="3" borderId="2" xfId="2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right" vertical="center"/>
    </xf>
    <xf numFmtId="0" fontId="7" fillId="2" borderId="3" xfId="0" applyFont="1" applyFill="1" applyBorder="1"/>
    <xf numFmtId="166" fontId="7" fillId="2" borderId="2" xfId="2" applyNumberFormat="1" applyFont="1" applyFill="1" applyBorder="1" applyAlignment="1">
      <alignment vertical="center"/>
    </xf>
    <xf numFmtId="165" fontId="7" fillId="2" borderId="2" xfId="0" applyNumberFormat="1" applyFont="1" applyFill="1" applyBorder="1" applyAlignment="1">
      <alignment horizontal="left" vertical="center"/>
    </xf>
    <xf numFmtId="165" fontId="14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right" vertical="center"/>
    </xf>
    <xf numFmtId="165" fontId="7" fillId="2" borderId="4" xfId="2" applyNumberFormat="1" applyFont="1" applyFill="1" applyBorder="1" applyAlignment="1">
      <alignment vertical="center"/>
    </xf>
    <xf numFmtId="166" fontId="7" fillId="2" borderId="1" xfId="0" applyNumberFormat="1" applyFont="1" applyFill="1" applyBorder="1" applyAlignment="1">
      <alignment horizontal="center" vertical="center"/>
    </xf>
    <xf numFmtId="165" fontId="7" fillId="2" borderId="1" xfId="2" applyNumberFormat="1" applyFont="1" applyFill="1" applyBorder="1" applyAlignment="1">
      <alignment vertical="center"/>
    </xf>
    <xf numFmtId="165" fontId="7" fillId="2" borderId="1" xfId="0" applyNumberFormat="1" applyFont="1" applyFill="1" applyBorder="1" applyAlignment="1">
      <alignment horizontal="left" vertical="center" wrapText="1"/>
    </xf>
    <xf numFmtId="165" fontId="7" fillId="2" borderId="1" xfId="0" applyNumberFormat="1" applyFont="1" applyFill="1" applyBorder="1" applyAlignment="1">
      <alignment horizontal="left" vertical="center"/>
    </xf>
    <xf numFmtId="165" fontId="14" fillId="2" borderId="1" xfId="0" applyNumberFormat="1" applyFont="1" applyFill="1" applyBorder="1" applyAlignment="1">
      <alignment horizontal="center" vertical="center"/>
    </xf>
    <xf numFmtId="0" fontId="7" fillId="2" borderId="8" xfId="0" applyFont="1" applyFill="1" applyBorder="1"/>
    <xf numFmtId="0" fontId="7" fillId="2" borderId="1" xfId="2" applyNumberFormat="1" applyFont="1" applyFill="1" applyBorder="1" applyAlignment="1">
      <alignment vertical="center"/>
    </xf>
    <xf numFmtId="167" fontId="7" fillId="2" borderId="1" xfId="2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2" applyNumberFormat="1" applyFont="1" applyFill="1" applyBorder="1" applyAlignment="1">
      <alignment horizontal="center" vertical="center"/>
    </xf>
    <xf numFmtId="170" fontId="7" fillId="2" borderId="1" xfId="2" applyNumberFormat="1" applyFont="1" applyFill="1" applyBorder="1" applyAlignment="1">
      <alignment vertical="center"/>
    </xf>
    <xf numFmtId="165" fontId="7" fillId="2" borderId="8" xfId="2" applyNumberFormat="1" applyFont="1" applyFill="1" applyBorder="1" applyAlignment="1">
      <alignment vertical="center"/>
    </xf>
    <xf numFmtId="165" fontId="10" fillId="2" borderId="2" xfId="0" applyNumberFormat="1" applyFont="1" applyFill="1" applyBorder="1" applyAlignment="1">
      <alignment horizontal="left" vertical="center"/>
    </xf>
    <xf numFmtId="0" fontId="14" fillId="2" borderId="1" xfId="0" applyFont="1" applyFill="1" applyBorder="1"/>
    <xf numFmtId="165" fontId="6" fillId="2" borderId="2" xfId="0" applyNumberFormat="1" applyFont="1" applyFill="1" applyBorder="1" applyAlignment="1">
      <alignment horizontal="center" vertical="center"/>
    </xf>
    <xf numFmtId="165" fontId="14" fillId="0" borderId="0" xfId="0" applyNumberFormat="1" applyFont="1"/>
    <xf numFmtId="3" fontId="7" fillId="2" borderId="2" xfId="0" applyNumberFormat="1" applyFont="1" applyFill="1" applyBorder="1" applyAlignment="1">
      <alignment horizontal="center" vertical="center"/>
    </xf>
    <xf numFmtId="165" fontId="7" fillId="2" borderId="4" xfId="0" applyNumberFormat="1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right"/>
    </xf>
    <xf numFmtId="165" fontId="7" fillId="4" borderId="4" xfId="2" applyNumberFormat="1" applyFont="1" applyFill="1" applyBorder="1" applyAlignment="1">
      <alignment vertical="center"/>
    </xf>
    <xf numFmtId="0" fontId="7" fillId="3" borderId="1" xfId="2" applyNumberFormat="1" applyFont="1" applyFill="1" applyBorder="1" applyAlignment="1">
      <alignment horizontal="center" vertical="center"/>
    </xf>
    <xf numFmtId="1" fontId="7" fillId="2" borderId="2" xfId="2" applyNumberFormat="1" applyFont="1" applyFill="1" applyBorder="1" applyAlignment="1">
      <alignment vertical="center"/>
    </xf>
    <xf numFmtId="165" fontId="14" fillId="2" borderId="2" xfId="0" applyNumberFormat="1" applyFont="1" applyFill="1" applyBorder="1"/>
    <xf numFmtId="0" fontId="7" fillId="4" borderId="3" xfId="0" applyFont="1" applyFill="1" applyBorder="1" applyAlignment="1">
      <alignment horizontal="right"/>
    </xf>
    <xf numFmtId="166" fontId="7" fillId="2" borderId="10" xfId="0" applyNumberFormat="1" applyFont="1" applyFill="1" applyBorder="1" applyAlignment="1">
      <alignment horizontal="center" vertical="center"/>
    </xf>
    <xf numFmtId="165" fontId="7" fillId="4" borderId="11" xfId="2" applyNumberFormat="1" applyFont="1" applyFill="1" applyBorder="1" applyAlignment="1">
      <alignment vertical="center"/>
    </xf>
    <xf numFmtId="0" fontId="7" fillId="2" borderId="4" xfId="2" applyNumberFormat="1" applyFont="1" applyFill="1" applyBorder="1" applyAlignment="1">
      <alignment vertical="center"/>
    </xf>
    <xf numFmtId="167" fontId="7" fillId="2" borderId="4" xfId="2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1" fontId="7" fillId="2" borderId="11" xfId="2" applyNumberFormat="1" applyFont="1" applyFill="1" applyBorder="1" applyAlignment="1">
      <alignment vertical="center"/>
    </xf>
    <xf numFmtId="165" fontId="7" fillId="2" borderId="4" xfId="0" applyNumberFormat="1" applyFont="1" applyFill="1" applyBorder="1" applyAlignment="1">
      <alignment horizontal="center" vertical="center"/>
    </xf>
    <xf numFmtId="169" fontId="14" fillId="2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right" vertical="center"/>
    </xf>
    <xf numFmtId="165" fontId="7" fillId="2" borderId="11" xfId="2" applyNumberFormat="1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horizontal="right" vertical="center"/>
    </xf>
    <xf numFmtId="0" fontId="11" fillId="2" borderId="3" xfId="0" applyFont="1" applyFill="1" applyBorder="1"/>
    <xf numFmtId="165" fontId="11" fillId="2" borderId="4" xfId="0" applyNumberFormat="1" applyFont="1" applyFill="1" applyBorder="1"/>
    <xf numFmtId="2" fontId="4" fillId="2" borderId="2" xfId="0" applyNumberFormat="1" applyFont="1" applyFill="1" applyBorder="1" applyAlignment="1">
      <alignment horizontal="center"/>
    </xf>
    <xf numFmtId="171" fontId="11" fillId="2" borderId="4" xfId="0" applyNumberFormat="1" applyFont="1" applyFill="1" applyBorder="1"/>
    <xf numFmtId="171" fontId="11" fillId="2" borderId="2" xfId="0" applyNumberFormat="1" applyFont="1" applyFill="1" applyBorder="1"/>
    <xf numFmtId="167" fontId="4" fillId="2" borderId="2" xfId="2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/>
    <xf numFmtId="165" fontId="6" fillId="2" borderId="2" xfId="0" applyNumberFormat="1" applyFont="1" applyFill="1" applyBorder="1"/>
    <xf numFmtId="165" fontId="6" fillId="2" borderId="3" xfId="0" applyNumberFormat="1" applyFont="1" applyFill="1" applyBorder="1"/>
    <xf numFmtId="0" fontId="14" fillId="2" borderId="2" xfId="0" applyFont="1" applyFill="1" applyBorder="1" applyAlignment="1">
      <alignment vertical="center" wrapText="1"/>
    </xf>
    <xf numFmtId="169" fontId="14" fillId="0" borderId="0" xfId="0" applyNumberFormat="1" applyFont="1" applyAlignment="1">
      <alignment horizontal="left" vertical="center"/>
    </xf>
    <xf numFmtId="4" fontId="14" fillId="0" borderId="0" xfId="0" applyNumberFormat="1" applyFont="1"/>
    <xf numFmtId="3" fontId="14" fillId="0" borderId="0" xfId="0" applyNumberFormat="1" applyFont="1"/>
    <xf numFmtId="169" fontId="14" fillId="0" borderId="0" xfId="0" applyNumberFormat="1" applyFont="1"/>
    <xf numFmtId="0" fontId="4" fillId="0" borderId="3" xfId="0" applyFont="1" applyBorder="1" applyAlignment="1">
      <alignment horizontal="center" vertical="center" wrapText="1"/>
    </xf>
    <xf numFmtId="165" fontId="7" fillId="2" borderId="3" xfId="2" applyNumberFormat="1" applyFont="1" applyFill="1" applyBorder="1" applyAlignment="1">
      <alignment vertical="center"/>
    </xf>
    <xf numFmtId="165" fontId="7" fillId="2" borderId="5" xfId="2" applyNumberFormat="1" applyFont="1" applyFill="1" applyBorder="1" applyAlignment="1">
      <alignment vertical="center"/>
    </xf>
    <xf numFmtId="0" fontId="7" fillId="13" borderId="2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/>
    </xf>
    <xf numFmtId="0" fontId="7" fillId="14" borderId="8" xfId="0" applyFont="1" applyFill="1" applyBorder="1" applyAlignment="1">
      <alignment horizontal="left" vertical="center"/>
    </xf>
    <xf numFmtId="0" fontId="7" fillId="14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0" fontId="7" fillId="17" borderId="4" xfId="0" applyFont="1" applyFill="1" applyBorder="1" applyAlignment="1">
      <alignment horizontal="left" vertical="center"/>
    </xf>
    <xf numFmtId="0" fontId="7" fillId="18" borderId="4" xfId="0" applyFont="1" applyFill="1" applyBorder="1" applyAlignment="1">
      <alignment horizontal="left" vertical="center"/>
    </xf>
    <xf numFmtId="165" fontId="0" fillId="0" borderId="2" xfId="0" applyNumberFormat="1" applyBorder="1"/>
    <xf numFmtId="165" fontId="0" fillId="0" borderId="3" xfId="0" applyNumberFormat="1" applyBorder="1"/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8" fillId="14" borderId="0" xfId="0" applyFont="1" applyFill="1" applyAlignment="1">
      <alignment wrapText="1"/>
    </xf>
    <xf numFmtId="0" fontId="14" fillId="2" borderId="12" xfId="0" applyFont="1" applyFill="1" applyBorder="1"/>
    <xf numFmtId="0" fontId="7" fillId="2" borderId="2" xfId="0" applyFont="1" applyFill="1" applyBorder="1"/>
    <xf numFmtId="3" fontId="7" fillId="2" borderId="3" xfId="0" applyNumberFormat="1" applyFont="1" applyFill="1" applyBorder="1" applyAlignment="1">
      <alignment horizontal="right" vertical="center"/>
    </xf>
    <xf numFmtId="0" fontId="7" fillId="2" borderId="13" xfId="0" applyFont="1" applyFill="1" applyBorder="1"/>
    <xf numFmtId="169" fontId="7" fillId="2" borderId="3" xfId="0" applyNumberFormat="1" applyFont="1" applyFill="1" applyBorder="1" applyAlignment="1">
      <alignment horizontal="right" vertical="center" wrapText="1"/>
    </xf>
    <xf numFmtId="165" fontId="7" fillId="2" borderId="12" xfId="2" applyNumberFormat="1" applyFont="1" applyFill="1" applyBorder="1" applyAlignment="1">
      <alignment vertical="center"/>
    </xf>
    <xf numFmtId="164" fontId="11" fillId="2" borderId="11" xfId="1" applyNumberFormat="1" applyFont="1" applyFill="1" applyBorder="1"/>
    <xf numFmtId="169" fontId="7" fillId="2" borderId="2" xfId="0" applyNumberFormat="1" applyFont="1" applyFill="1" applyBorder="1" applyAlignment="1">
      <alignment horizontal="left" vertical="center" wrapText="1"/>
    </xf>
    <xf numFmtId="165" fontId="14" fillId="2" borderId="2" xfId="0" applyNumberFormat="1" applyFont="1" applyFill="1" applyBorder="1" applyAlignment="1">
      <alignment wrapText="1"/>
    </xf>
    <xf numFmtId="0" fontId="9" fillId="0" borderId="0" xfId="0" applyFont="1" applyAlignment="1">
      <alignment horizontal="right"/>
    </xf>
    <xf numFmtId="10" fontId="9" fillId="0" borderId="0" xfId="0" applyNumberFormat="1" applyFont="1"/>
    <xf numFmtId="164" fontId="7" fillId="2" borderId="3" xfId="0" applyNumberFormat="1" applyFont="1" applyFill="1" applyBorder="1" applyAlignment="1">
      <alignment horizontal="right" vertical="center"/>
    </xf>
    <xf numFmtId="164" fontId="7" fillId="3" borderId="3" xfId="0" applyNumberFormat="1" applyFont="1" applyFill="1" applyBorder="1" applyAlignment="1">
      <alignment horizontal="right"/>
    </xf>
    <xf numFmtId="164" fontId="7" fillId="2" borderId="9" xfId="0" applyNumberFormat="1" applyFont="1" applyFill="1" applyBorder="1"/>
    <xf numFmtId="164" fontId="7" fillId="2" borderId="8" xfId="0" applyNumberFormat="1" applyFont="1" applyFill="1" applyBorder="1"/>
    <xf numFmtId="164" fontId="7" fillId="2" borderId="3" xfId="0" applyNumberFormat="1" applyFont="1" applyFill="1" applyBorder="1"/>
    <xf numFmtId="164" fontId="7" fillId="2" borderId="1" xfId="0" applyNumberFormat="1" applyFont="1" applyFill="1" applyBorder="1" applyAlignment="1">
      <alignment horizontal="right" vertical="center"/>
    </xf>
    <xf numFmtId="164" fontId="7" fillId="2" borderId="3" xfId="0" applyNumberFormat="1" applyFont="1" applyFill="1" applyBorder="1" applyAlignment="1">
      <alignment horizontal="right"/>
    </xf>
    <xf numFmtId="164" fontId="7" fillId="2" borderId="2" xfId="0" applyNumberFormat="1" applyFont="1" applyFill="1" applyBorder="1" applyAlignment="1">
      <alignment horizontal="right" vertical="center"/>
    </xf>
    <xf numFmtId="164" fontId="7" fillId="2" borderId="12" xfId="0" applyNumberFormat="1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left" vertical="center"/>
    </xf>
    <xf numFmtId="0" fontId="14" fillId="2" borderId="0" xfId="0" applyFont="1" applyFill="1"/>
    <xf numFmtId="164" fontId="7" fillId="2" borderId="14" xfId="0" applyNumberFormat="1" applyFont="1" applyFill="1" applyBorder="1" applyAlignment="1">
      <alignment horizontal="right"/>
    </xf>
    <xf numFmtId="164" fontId="7" fillId="2" borderId="11" xfId="1" applyNumberFormat="1" applyFont="1" applyFill="1" applyBorder="1" applyAlignment="1">
      <alignment vertical="center"/>
    </xf>
    <xf numFmtId="165" fontId="7" fillId="2" borderId="0" xfId="2" applyNumberFormat="1" applyFont="1" applyFill="1" applyBorder="1" applyAlignment="1">
      <alignment vertical="center"/>
    </xf>
    <xf numFmtId="165" fontId="7" fillId="2" borderId="4" xfId="2" applyNumberFormat="1" applyFont="1" applyFill="1" applyBorder="1" applyAlignment="1">
      <alignment horizontal="right" vertical="center"/>
    </xf>
    <xf numFmtId="0" fontId="7" fillId="2" borderId="4" xfId="2" applyNumberFormat="1" applyFont="1" applyFill="1" applyBorder="1" applyAlignment="1">
      <alignment horizontal="center" vertical="center"/>
    </xf>
    <xf numFmtId="167" fontId="7" fillId="2" borderId="11" xfId="2" applyNumberFormat="1" applyFont="1" applyFill="1" applyBorder="1" applyAlignment="1">
      <alignment horizontal="center" vertical="center"/>
    </xf>
    <xf numFmtId="165" fontId="14" fillId="2" borderId="0" xfId="0" applyNumberFormat="1" applyFont="1" applyFill="1"/>
    <xf numFmtId="165" fontId="4" fillId="2" borderId="15" xfId="2" applyNumberFormat="1" applyFont="1" applyFill="1" applyBorder="1" applyAlignment="1">
      <alignment horizontal="right" vertical="center"/>
    </xf>
    <xf numFmtId="165" fontId="7" fillId="2" borderId="16" xfId="2" applyNumberFormat="1" applyFont="1" applyFill="1" applyBorder="1" applyAlignment="1">
      <alignment vertical="center"/>
    </xf>
    <xf numFmtId="165" fontId="7" fillId="2" borderId="1" xfId="2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165" fontId="6" fillId="10" borderId="5" xfId="0" applyNumberFormat="1" applyFont="1" applyFill="1" applyBorder="1" applyAlignment="1">
      <alignment horizontal="center" vertical="center"/>
    </xf>
    <xf numFmtId="165" fontId="7" fillId="0" borderId="2" xfId="0" applyNumberFormat="1" applyFont="1" applyBorder="1" applyAlignment="1">
      <alignment horizontal="left" vertical="center"/>
    </xf>
    <xf numFmtId="0" fontId="10" fillId="2" borderId="2" xfId="2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horizontal="center" vertical="center"/>
    </xf>
    <xf numFmtId="165" fontId="6" fillId="4" borderId="10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4" fontId="20" fillId="19" borderId="2" xfId="0" applyNumberFormat="1" applyFont="1" applyFill="1" applyBorder="1" applyAlignment="1"/>
    <xf numFmtId="165" fontId="7" fillId="2" borderId="12" xfId="2" applyNumberFormat="1" applyFont="1" applyFill="1" applyBorder="1" applyAlignment="1">
      <alignment vertical="center" wrapText="1"/>
    </xf>
    <xf numFmtId="165" fontId="7" fillId="4" borderId="7" xfId="2" applyNumberFormat="1" applyFont="1" applyFill="1" applyBorder="1" applyAlignment="1">
      <alignment vertical="center"/>
    </xf>
    <xf numFmtId="165" fontId="4" fillId="2" borderId="17" xfId="2" applyNumberFormat="1" applyFont="1" applyFill="1" applyBorder="1" applyAlignment="1">
      <alignment horizontal="right" vertical="center"/>
    </xf>
    <xf numFmtId="171" fontId="11" fillId="2" borderId="5" xfId="0" applyNumberFormat="1" applyFont="1" applyFill="1" applyBorder="1"/>
    <xf numFmtId="171" fontId="11" fillId="2" borderId="12" xfId="0" applyNumberFormat="1" applyFont="1" applyFill="1" applyBorder="1"/>
    <xf numFmtId="165" fontId="7" fillId="2" borderId="18" xfId="2" applyNumberFormat="1" applyFont="1" applyFill="1" applyBorder="1" applyAlignment="1">
      <alignment vertical="center"/>
    </xf>
    <xf numFmtId="165" fontId="7" fillId="4" borderId="19" xfId="2" applyNumberFormat="1" applyFont="1" applyFill="1" applyBorder="1" applyAlignment="1">
      <alignment vertical="center"/>
    </xf>
    <xf numFmtId="164" fontId="7" fillId="19" borderId="2" xfId="0" applyNumberFormat="1" applyFont="1" applyFill="1" applyBorder="1" applyAlignment="1"/>
    <xf numFmtId="0" fontId="7" fillId="3" borderId="2" xfId="0" applyFont="1" applyFill="1" applyBorder="1" applyAlignment="1">
      <alignment horizontal="left" vertical="center"/>
    </xf>
    <xf numFmtId="165" fontId="7" fillId="4" borderId="2" xfId="2" applyNumberFormat="1" applyFont="1" applyFill="1" applyBorder="1" applyAlignment="1">
      <alignment vertical="center" wrapText="1"/>
    </xf>
    <xf numFmtId="165" fontId="5" fillId="2" borderId="5" xfId="0" applyNumberFormat="1" applyFont="1" applyFill="1" applyBorder="1" applyAlignment="1">
      <alignment horizontal="center" vertical="center"/>
    </xf>
    <xf numFmtId="164" fontId="21" fillId="19" borderId="2" xfId="0" applyNumberFormat="1" applyFont="1" applyFill="1" applyBorder="1" applyAlignment="1"/>
    <xf numFmtId="0" fontId="22" fillId="3" borderId="2" xfId="2" applyNumberFormat="1" applyFont="1" applyFill="1" applyBorder="1" applyAlignment="1">
      <alignment horizontal="center" vertical="center"/>
    </xf>
    <xf numFmtId="167" fontId="10" fillId="2" borderId="2" xfId="2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 wrapText="1"/>
    </xf>
    <xf numFmtId="165" fontId="6" fillId="2" borderId="10" xfId="0" applyNumberFormat="1" applyFont="1" applyFill="1" applyBorder="1" applyAlignment="1">
      <alignment horizontal="center" vertical="center"/>
    </xf>
    <xf numFmtId="165" fontId="6" fillId="20" borderId="5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Alignment="1">
      <alignment wrapText="1"/>
    </xf>
    <xf numFmtId="165" fontId="6" fillId="20" borderId="10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14" fillId="0" borderId="0" xfId="0" applyFont="1" applyAlignment="1">
      <alignment wrapText="1"/>
    </xf>
    <xf numFmtId="169" fontId="14" fillId="2" borderId="2" xfId="0" applyNumberFormat="1" applyFont="1" applyFill="1" applyBorder="1" applyAlignment="1">
      <alignment horizontal="center" vertical="center" wrapText="1"/>
    </xf>
    <xf numFmtId="165" fontId="6" fillId="21" borderId="5" xfId="0" applyNumberFormat="1" applyFont="1" applyFill="1" applyBorder="1" applyAlignment="1">
      <alignment horizontal="center" vertical="center"/>
    </xf>
    <xf numFmtId="165" fontId="6" fillId="22" borderId="10" xfId="0" applyNumberFormat="1" applyFont="1" applyFill="1" applyBorder="1" applyAlignment="1">
      <alignment horizontal="center" vertical="center"/>
    </xf>
    <xf numFmtId="164" fontId="23" fillId="19" borderId="2" xfId="0" applyNumberFormat="1" applyFont="1" applyFill="1" applyBorder="1" applyAlignment="1"/>
    <xf numFmtId="165" fontId="6" fillId="3" borderId="5" xfId="0" applyNumberFormat="1" applyFont="1" applyFill="1" applyBorder="1" applyAlignment="1">
      <alignment horizontal="center" vertical="center"/>
    </xf>
    <xf numFmtId="165" fontId="6" fillId="3" borderId="10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165" fontId="7" fillId="2" borderId="2" xfId="2" applyNumberFormat="1" applyFont="1" applyFill="1" applyBorder="1" applyAlignment="1">
      <alignment horizontal="left" vertical="center"/>
    </xf>
    <xf numFmtId="165" fontId="7" fillId="2" borderId="1" xfId="2" applyNumberFormat="1" applyFont="1" applyFill="1" applyBorder="1" applyAlignment="1">
      <alignment horizontal="left" vertical="center"/>
    </xf>
    <xf numFmtId="165" fontId="4" fillId="2" borderId="15" xfId="2" applyNumberFormat="1" applyFont="1" applyFill="1" applyBorder="1" applyAlignment="1">
      <alignment horizontal="left" vertical="center"/>
    </xf>
    <xf numFmtId="165" fontId="7" fillId="2" borderId="4" xfId="2" applyNumberFormat="1" applyFont="1" applyFill="1" applyBorder="1" applyAlignment="1">
      <alignment horizontal="left" vertical="center"/>
    </xf>
    <xf numFmtId="165" fontId="4" fillId="2" borderId="17" xfId="2" applyNumberFormat="1" applyFont="1" applyFill="1" applyBorder="1" applyAlignment="1">
      <alignment horizontal="left" vertical="center"/>
    </xf>
    <xf numFmtId="171" fontId="11" fillId="2" borderId="5" xfId="0" applyNumberFormat="1" applyFont="1" applyFill="1" applyBorder="1" applyAlignment="1">
      <alignment horizontal="left" vertical="center"/>
    </xf>
    <xf numFmtId="169" fontId="7" fillId="2" borderId="3" xfId="0" applyNumberFormat="1" applyFont="1" applyFill="1" applyBorder="1" applyAlignment="1">
      <alignment horizontal="left" vertical="center" wrapText="1"/>
    </xf>
    <xf numFmtId="169" fontId="7" fillId="2" borderId="3" xfId="0" applyNumberFormat="1" applyFont="1" applyFill="1" applyBorder="1" applyAlignment="1">
      <alignment horizontal="left" vertical="center"/>
    </xf>
    <xf numFmtId="169" fontId="7" fillId="2" borderId="3" xfId="0" applyNumberFormat="1" applyFont="1" applyFill="1" applyBorder="1" applyAlignment="1">
      <alignment horizontal="left"/>
    </xf>
    <xf numFmtId="169" fontId="7" fillId="2" borderId="1" xfId="0" applyNumberFormat="1" applyFont="1" applyFill="1" applyBorder="1" applyAlignment="1">
      <alignment horizontal="left" vertical="center"/>
    </xf>
    <xf numFmtId="3" fontId="7" fillId="2" borderId="13" xfId="0" applyNumberFormat="1" applyFont="1" applyFill="1" applyBorder="1" applyAlignment="1">
      <alignment horizontal="right" vertical="center"/>
    </xf>
    <xf numFmtId="169" fontId="7" fillId="3" borderId="14" xfId="0" applyNumberFormat="1" applyFont="1" applyFill="1" applyBorder="1" applyAlignment="1">
      <alignment horizontal="left"/>
    </xf>
    <xf numFmtId="169" fontId="7" fillId="2" borderId="9" xfId="0" applyNumberFormat="1" applyFont="1" applyFill="1" applyBorder="1" applyAlignment="1">
      <alignment horizontal="left"/>
    </xf>
    <xf numFmtId="0" fontId="7" fillId="2" borderId="8" xfId="0" applyFont="1" applyFill="1" applyBorder="1" applyAlignment="1">
      <alignment horizontal="right" vertical="center"/>
    </xf>
    <xf numFmtId="0" fontId="7" fillId="2" borderId="5" xfId="0" applyFont="1" applyFill="1" applyBorder="1"/>
    <xf numFmtId="169" fontId="14" fillId="0" borderId="0" xfId="0" applyNumberFormat="1" applyFont="1" applyAlignment="1">
      <alignment horizontal="left" vertical="center" wrapText="1"/>
    </xf>
    <xf numFmtId="169" fontId="7" fillId="0" borderId="2" xfId="0" applyNumberFormat="1" applyFont="1" applyBorder="1" applyAlignment="1">
      <alignment horizontal="left" vertical="center"/>
    </xf>
    <xf numFmtId="169" fontId="10" fillId="2" borderId="2" xfId="0" applyNumberFormat="1" applyFont="1" applyFill="1" applyBorder="1" applyAlignment="1">
      <alignment horizontal="left" vertical="center"/>
    </xf>
    <xf numFmtId="169" fontId="14" fillId="2" borderId="2" xfId="0" applyNumberFormat="1" applyFont="1" applyFill="1" applyBorder="1" applyAlignment="1">
      <alignment horizontal="left" vertical="center"/>
    </xf>
    <xf numFmtId="169" fontId="7" fillId="2" borderId="4" xfId="0" applyNumberFormat="1" applyFont="1" applyFill="1" applyBorder="1" applyAlignment="1">
      <alignment horizontal="left" vertical="center"/>
    </xf>
    <xf numFmtId="169" fontId="7" fillId="2" borderId="8" xfId="0" applyNumberFormat="1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166" fontId="10" fillId="2" borderId="2" xfId="2" applyNumberFormat="1" applyFont="1" applyFill="1" applyBorder="1" applyAlignment="1">
      <alignment vertical="center"/>
    </xf>
    <xf numFmtId="0" fontId="15" fillId="0" borderId="0" xfId="0" applyFont="1"/>
    <xf numFmtId="165" fontId="6" fillId="20" borderId="2" xfId="0" applyNumberFormat="1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right" vertical="center"/>
    </xf>
    <xf numFmtId="0" fontId="7" fillId="13" borderId="2" xfId="0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69" fontId="7" fillId="2" borderId="1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167" fontId="7" fillId="2" borderId="2" xfId="2" applyNumberFormat="1" applyFont="1" applyFill="1" applyBorder="1" applyAlignment="1">
      <alignment vertical="center"/>
    </xf>
    <xf numFmtId="0" fontId="7" fillId="3" borderId="2" xfId="2" applyNumberFormat="1" applyFont="1" applyFill="1" applyBorder="1" applyAlignment="1">
      <alignment vertical="center"/>
    </xf>
    <xf numFmtId="169" fontId="7" fillId="2" borderId="2" xfId="0" applyNumberFormat="1" applyFont="1" applyFill="1" applyBorder="1" applyAlignment="1">
      <alignment vertical="center"/>
    </xf>
    <xf numFmtId="169" fontId="7" fillId="2" borderId="4" xfId="0" applyNumberFormat="1" applyFont="1" applyFill="1" applyBorder="1" applyAlignment="1">
      <alignment vertical="center"/>
    </xf>
    <xf numFmtId="0" fontId="14" fillId="0" borderId="0" xfId="0" applyFont="1" applyAlignment="1"/>
    <xf numFmtId="165" fontId="4" fillId="4" borderId="2" xfId="0" applyNumberFormat="1" applyFont="1" applyFill="1" applyBorder="1" applyAlignment="1">
      <alignment horizontal="center" vertical="center"/>
    </xf>
    <xf numFmtId="164" fontId="7" fillId="19" borderId="2" xfId="0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wrapText="1"/>
    </xf>
    <xf numFmtId="169" fontId="14" fillId="20" borderId="0" xfId="0" applyNumberFormat="1" applyFont="1" applyFill="1"/>
    <xf numFmtId="169" fontId="15" fillId="0" borderId="0" xfId="0" applyNumberFormat="1" applyFont="1"/>
    <xf numFmtId="165" fontId="14" fillId="4" borderId="0" xfId="0" applyNumberFormat="1" applyFont="1" applyFill="1"/>
    <xf numFmtId="169" fontId="5" fillId="0" borderId="0" xfId="0" applyNumberFormat="1" applyFont="1"/>
    <xf numFmtId="165" fontId="11" fillId="3" borderId="2" xfId="0" applyNumberFormat="1" applyFont="1" applyFill="1" applyBorder="1"/>
    <xf numFmtId="0" fontId="7" fillId="16" borderId="2" xfId="0" applyFont="1" applyFill="1" applyBorder="1" applyAlignment="1">
      <alignment horizontal="left" vertical="center"/>
    </xf>
    <xf numFmtId="171" fontId="0" fillId="0" borderId="2" xfId="0" applyNumberFormat="1" applyBorder="1"/>
    <xf numFmtId="164" fontId="0" fillId="0" borderId="2" xfId="0" applyNumberFormat="1" applyBorder="1"/>
    <xf numFmtId="164" fontId="7" fillId="2" borderId="2" xfId="0" applyNumberFormat="1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3" fillId="13" borderId="0" xfId="0" applyFont="1" applyFill="1" applyAlignment="1">
      <alignment horizontal="left" wrapText="1"/>
    </xf>
    <xf numFmtId="0" fontId="19" fillId="2" borderId="1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center"/>
    </xf>
    <xf numFmtId="0" fontId="14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165" fontId="6" fillId="4" borderId="1" xfId="0" applyNumberFormat="1" applyFont="1" applyFill="1" applyBorder="1" applyAlignment="1">
      <alignment horizontal="center" vertical="center"/>
    </xf>
    <xf numFmtId="165" fontId="6" fillId="4" borderId="4" xfId="0" applyNumberFormat="1" applyFont="1" applyFill="1" applyBorder="1" applyAlignment="1">
      <alignment horizontal="center" vertical="center"/>
    </xf>
    <xf numFmtId="165" fontId="6" fillId="20" borderId="1" xfId="0" applyNumberFormat="1" applyFont="1" applyFill="1" applyBorder="1" applyAlignment="1">
      <alignment horizontal="center" vertical="center"/>
    </xf>
    <xf numFmtId="165" fontId="6" fillId="20" borderId="4" xfId="0" applyNumberFormat="1" applyFont="1" applyFill="1" applyBorder="1" applyAlignment="1">
      <alignment horizontal="center" vertical="center"/>
    </xf>
  </cellXfs>
  <cellStyles count="3">
    <cellStyle name="Moneda" xfId="1" builtinId="4"/>
    <cellStyle name="Moneda 2" xfId="2" xr:uid="{F4AFD23E-825B-4E98-96FD-FD8B925A8760}"/>
    <cellStyle name="Normal" xfId="0" builtinId="0"/>
  </cellStyles>
  <dxfs count="0"/>
  <tableStyles count="0" defaultTableStyle="TableStyleMedium2" defaultPivotStyle="PivotStyleMedium9"/>
  <colors>
    <mruColors>
      <color rgb="FFA3FFF1"/>
      <color rgb="FFF79CFF"/>
      <color rgb="FFE467F0"/>
      <color rgb="FFFFFF8C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6</xdr:col>
      <xdr:colOff>733425</xdr:colOff>
      <xdr:row>36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A34E90-32C1-8741-94BF-A3E8840F9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1425" y="5810250"/>
          <a:ext cx="4572000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28</xdr:row>
      <xdr:rowOff>95250</xdr:rowOff>
    </xdr:from>
    <xdr:to>
      <xdr:col>11</xdr:col>
      <xdr:colOff>171450</xdr:colOff>
      <xdr:row>44</xdr:row>
      <xdr:rowOff>123825</xdr:rowOff>
    </xdr:to>
    <xdr:pic>
      <xdr:nvPicPr>
        <xdr:cNvPr id="3" name="Imagen 2" title="ejemplo con 8 HE Dominicales Diurnas. Que son despues de cumplir las 44 horas semanales">
          <a:extLst>
            <a:ext uri="{FF2B5EF4-FFF2-40B4-BE49-F238E27FC236}">
              <a16:creationId xmlns:a16="http://schemas.microsoft.com/office/drawing/2014/main" id="{3A9E00C3-BA09-ED60-DCB0-ADA1D655CC65}"/>
            </a:ext>
            <a:ext uri="{147F2762-F138-4A5C-976F-8EAC2B608ADB}">
              <a16:predDERef xmlns:a16="http://schemas.microsoft.com/office/drawing/2014/main" pred="{1FA34E90-32C1-8741-94BF-A3E8840F9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6325" y="5524500"/>
          <a:ext cx="4572000" cy="3429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6</xdr:col>
      <xdr:colOff>733425</xdr:colOff>
      <xdr:row>37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4A80D1-07E0-4181-A563-5B82E514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1425" y="5972175"/>
          <a:ext cx="4572000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29</xdr:row>
      <xdr:rowOff>95250</xdr:rowOff>
    </xdr:from>
    <xdr:to>
      <xdr:col>11</xdr:col>
      <xdr:colOff>171450</xdr:colOff>
      <xdr:row>45</xdr:row>
      <xdr:rowOff>123825</xdr:rowOff>
    </xdr:to>
    <xdr:pic>
      <xdr:nvPicPr>
        <xdr:cNvPr id="3" name="Imagen 2" title="ejemplo con 8 HE Dominicales Diurnas. Que son despues de cumplir las 44 horas semanales">
          <a:extLst>
            <a:ext uri="{FF2B5EF4-FFF2-40B4-BE49-F238E27FC236}">
              <a16:creationId xmlns:a16="http://schemas.microsoft.com/office/drawing/2014/main" id="{02D26DA1-875A-4818-B462-63303F00B2AB}"/>
            </a:ext>
            <a:ext uri="{147F2762-F138-4A5C-976F-8EAC2B608ADB}">
              <a16:predDERef xmlns:a16="http://schemas.microsoft.com/office/drawing/2014/main" pred="{DE4A80D1-07E0-4181-A563-5B82E514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6325" y="5686425"/>
          <a:ext cx="4572000" cy="3429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6</xdr:col>
      <xdr:colOff>733425</xdr:colOff>
      <xdr:row>37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6803A5-5D81-4D9C-860A-2B8647D48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7650" y="5991225"/>
          <a:ext cx="4572000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29</xdr:row>
      <xdr:rowOff>95250</xdr:rowOff>
    </xdr:from>
    <xdr:to>
      <xdr:col>11</xdr:col>
      <xdr:colOff>171450</xdr:colOff>
      <xdr:row>45</xdr:row>
      <xdr:rowOff>123825</xdr:rowOff>
    </xdr:to>
    <xdr:pic>
      <xdr:nvPicPr>
        <xdr:cNvPr id="3" name="Imagen 2" title="ejemplo con 8 HE Dominicales Diurnas. Que son despues de cumplir las 44 horas semanales">
          <a:extLst>
            <a:ext uri="{FF2B5EF4-FFF2-40B4-BE49-F238E27FC236}">
              <a16:creationId xmlns:a16="http://schemas.microsoft.com/office/drawing/2014/main" id="{05FF39CD-321C-4880-9E5F-4944BF6675EC}"/>
            </a:ext>
            <a:ext uri="{147F2762-F138-4A5C-976F-8EAC2B608ADB}">
              <a16:predDERef xmlns:a16="http://schemas.microsoft.com/office/drawing/2014/main" pred="{996803A5-5D81-4D9C-860A-2B8647D48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5705475"/>
          <a:ext cx="4572000" cy="3429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6</xdr:col>
      <xdr:colOff>733425</xdr:colOff>
      <xdr:row>36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AAF50E-6DFC-4829-B637-4D6525310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7650" y="6143625"/>
          <a:ext cx="4572000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28</xdr:row>
      <xdr:rowOff>95250</xdr:rowOff>
    </xdr:from>
    <xdr:to>
      <xdr:col>11</xdr:col>
      <xdr:colOff>171450</xdr:colOff>
      <xdr:row>44</xdr:row>
      <xdr:rowOff>123825</xdr:rowOff>
    </xdr:to>
    <xdr:pic>
      <xdr:nvPicPr>
        <xdr:cNvPr id="3" name="Imagen 2" title="ejemplo con 8 HE Dominicales Diurnas. Que son despues de cumplir las 44 horas semanales">
          <a:extLst>
            <a:ext uri="{FF2B5EF4-FFF2-40B4-BE49-F238E27FC236}">
              <a16:creationId xmlns:a16="http://schemas.microsoft.com/office/drawing/2014/main" id="{67551F7C-FEBB-400C-BD0F-B2F6E88BAFE9}"/>
            </a:ext>
            <a:ext uri="{147F2762-F138-4A5C-976F-8EAC2B608ADB}">
              <a16:predDERef xmlns:a16="http://schemas.microsoft.com/office/drawing/2014/main" pred="{B5AAF50E-6DFC-4829-B637-4D6525310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5857875"/>
          <a:ext cx="4572000" cy="3429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6</xdr:col>
      <xdr:colOff>733425</xdr:colOff>
      <xdr:row>36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6BC83A-87A8-4BEB-8205-DCA0E0E9D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7650" y="6134100"/>
          <a:ext cx="4572000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28</xdr:row>
      <xdr:rowOff>95250</xdr:rowOff>
    </xdr:from>
    <xdr:to>
      <xdr:col>11</xdr:col>
      <xdr:colOff>171450</xdr:colOff>
      <xdr:row>44</xdr:row>
      <xdr:rowOff>123825</xdr:rowOff>
    </xdr:to>
    <xdr:pic>
      <xdr:nvPicPr>
        <xdr:cNvPr id="3" name="Imagen 2" title="ejemplo con 8 HE Dominicales Diurnas. Que son despues de cumplir las 44 horas semanales">
          <a:extLst>
            <a:ext uri="{FF2B5EF4-FFF2-40B4-BE49-F238E27FC236}">
              <a16:creationId xmlns:a16="http://schemas.microsoft.com/office/drawing/2014/main" id="{3005C350-56AE-4A07-A937-5A6EFBEF8D23}"/>
            </a:ext>
            <a:ext uri="{147F2762-F138-4A5C-976F-8EAC2B608ADB}">
              <a16:predDERef xmlns:a16="http://schemas.microsoft.com/office/drawing/2014/main" pred="{5A6BC83A-87A8-4BEB-8205-DCA0E0E9D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5848350"/>
          <a:ext cx="4572000" cy="3429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6</xdr:col>
      <xdr:colOff>733425</xdr:colOff>
      <xdr:row>35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09845-145C-4FD9-8B5C-4F9C47AF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7650" y="5972175"/>
          <a:ext cx="4572000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27</xdr:row>
      <xdr:rowOff>95250</xdr:rowOff>
    </xdr:from>
    <xdr:to>
      <xdr:col>12</xdr:col>
      <xdr:colOff>390525</xdr:colOff>
      <xdr:row>43</xdr:row>
      <xdr:rowOff>123825</xdr:rowOff>
    </xdr:to>
    <xdr:pic>
      <xdr:nvPicPr>
        <xdr:cNvPr id="3" name="Imagen 2" title="ejemplo con 8 HE Dominicales Diurnas. Que son despues de cumplir las 44 horas semanales">
          <a:extLst>
            <a:ext uri="{FF2B5EF4-FFF2-40B4-BE49-F238E27FC236}">
              <a16:creationId xmlns:a16="http://schemas.microsoft.com/office/drawing/2014/main" id="{BDC8DADA-8AE8-4FE9-B46B-D84414689FD1}"/>
            </a:ext>
            <a:ext uri="{147F2762-F138-4A5C-976F-8EAC2B608ADB}">
              <a16:predDERef xmlns:a16="http://schemas.microsoft.com/office/drawing/2014/main" pred="{77409845-145C-4FD9-8B5C-4F9C47AF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5686425"/>
          <a:ext cx="4572000" cy="3429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0</xdr:rowOff>
    </xdr:from>
    <xdr:to>
      <xdr:col>6</xdr:col>
      <xdr:colOff>733425</xdr:colOff>
      <xdr:row>34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5D690F-C070-4137-BE7A-E48E550A6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7650" y="6753225"/>
          <a:ext cx="4572000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26</xdr:row>
      <xdr:rowOff>95250</xdr:rowOff>
    </xdr:from>
    <xdr:to>
      <xdr:col>12</xdr:col>
      <xdr:colOff>123825</xdr:colOff>
      <xdr:row>42</xdr:row>
      <xdr:rowOff>123825</xdr:rowOff>
    </xdr:to>
    <xdr:pic>
      <xdr:nvPicPr>
        <xdr:cNvPr id="3" name="Imagen 2" title="ejemplo con 8 HE Dominicales Diurnas. Que son despues de cumplir las 44 horas semanales">
          <a:extLst>
            <a:ext uri="{FF2B5EF4-FFF2-40B4-BE49-F238E27FC236}">
              <a16:creationId xmlns:a16="http://schemas.microsoft.com/office/drawing/2014/main" id="{FA4A79F2-3053-45B0-B205-4CC5E627C951}"/>
            </a:ext>
            <a:ext uri="{147F2762-F138-4A5C-976F-8EAC2B608ADB}">
              <a16:predDERef xmlns:a16="http://schemas.microsoft.com/office/drawing/2014/main" pred="{165D690F-C070-4137-BE7A-E48E550A6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6467475"/>
          <a:ext cx="4572000" cy="3429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27</xdr:row>
      <xdr:rowOff>0</xdr:rowOff>
    </xdr:from>
    <xdr:to>
      <xdr:col>6</xdr:col>
      <xdr:colOff>733425</xdr:colOff>
      <xdr:row>33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75AA02-DCDB-4E78-9AFF-8B2F166D8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7650" y="5895975"/>
          <a:ext cx="4572000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25</xdr:row>
      <xdr:rowOff>95250</xdr:rowOff>
    </xdr:from>
    <xdr:to>
      <xdr:col>12</xdr:col>
      <xdr:colOff>123825</xdr:colOff>
      <xdr:row>41</xdr:row>
      <xdr:rowOff>123825</xdr:rowOff>
    </xdr:to>
    <xdr:pic>
      <xdr:nvPicPr>
        <xdr:cNvPr id="3" name="Imagen 2" title="ejemplo con 8 HE Dominicales Diurnas. Que son despues de cumplir las 44 horas semanales">
          <a:extLst>
            <a:ext uri="{FF2B5EF4-FFF2-40B4-BE49-F238E27FC236}">
              <a16:creationId xmlns:a16="http://schemas.microsoft.com/office/drawing/2014/main" id="{E3913308-053E-4F68-A397-ABACFB3DA27F}"/>
            </a:ext>
            <a:ext uri="{147F2762-F138-4A5C-976F-8EAC2B608ADB}">
              <a16:predDERef xmlns:a16="http://schemas.microsoft.com/office/drawing/2014/main" pred="{6175AA02-DCDB-4E78-9AFF-8B2F166D8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5610225"/>
          <a:ext cx="4572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workbookViewId="0">
      <pane xSplit="1" topLeftCell="B1" activePane="topRight" state="frozen"/>
      <selection pane="topRight" activeCell="F5" sqref="F5"/>
    </sheetView>
  </sheetViews>
  <sheetFormatPr defaultRowHeight="13.5"/>
  <cols>
    <col min="1" max="1" width="44.5703125" style="26" customWidth="1"/>
    <col min="2" max="2" width="12.140625" style="26" bestFit="1" customWidth="1"/>
    <col min="3" max="3" width="17.5703125" style="26" customWidth="1"/>
    <col min="4" max="4" width="15.7109375" style="26" customWidth="1"/>
    <col min="5" max="5" width="11" style="26" customWidth="1"/>
    <col min="6" max="6" width="13.28515625" style="26" customWidth="1"/>
    <col min="7" max="7" width="15.5703125" style="26" bestFit="1" customWidth="1"/>
    <col min="8" max="8" width="12.7109375" style="26" customWidth="1"/>
    <col min="9" max="9" width="12.28515625" style="26" customWidth="1"/>
    <col min="10" max="10" width="26.28515625" style="26" bestFit="1" customWidth="1"/>
    <col min="11" max="11" width="15.28515625" style="26" customWidth="1"/>
    <col min="12" max="12" width="9.140625" style="26"/>
    <col min="13" max="13" width="12.42578125" style="26" customWidth="1"/>
    <col min="14" max="16" width="9.140625" style="26"/>
    <col min="17" max="17" width="12.140625" style="26" customWidth="1"/>
    <col min="18" max="24" width="9.140625" style="26"/>
    <col min="25" max="25" width="10.85546875" style="26" customWidth="1"/>
    <col min="26" max="26" width="13.5703125" style="26" bestFit="1" customWidth="1"/>
    <col min="27" max="27" width="16.5703125" style="26" customWidth="1"/>
    <col min="28" max="28" width="14.85546875" style="26" customWidth="1"/>
    <col min="29" max="29" width="14.42578125" style="26" customWidth="1"/>
    <col min="30" max="30" width="18.28515625" style="26" customWidth="1"/>
    <col min="31" max="31" width="15.28515625" style="26" customWidth="1"/>
    <col min="32" max="16384" width="9.140625" style="26"/>
  </cols>
  <sheetData>
    <row r="1" spans="1:34" ht="2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"/>
    </row>
    <row r="2" spans="1:34" ht="21">
      <c r="A2" s="252" t="s">
        <v>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7"/>
    </row>
    <row r="3" spans="1:34" ht="21">
      <c r="A3" s="251" t="s">
        <v>2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46" t="s">
        <v>3</v>
      </c>
      <c r="AE3" s="246"/>
    </row>
    <row r="4" spans="1:34" ht="38.25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4" t="s">
        <v>13</v>
      </c>
      <c r="K4" s="3" t="s">
        <v>14</v>
      </c>
      <c r="L4" s="5" t="s">
        <v>15</v>
      </c>
      <c r="M4" s="6">
        <v>0.25</v>
      </c>
      <c r="N4" s="7" t="s">
        <v>16</v>
      </c>
      <c r="O4" s="8">
        <v>0.75</v>
      </c>
      <c r="P4" s="9" t="s">
        <v>17</v>
      </c>
      <c r="Q4" s="9">
        <v>0.8</v>
      </c>
      <c r="R4" s="10" t="s">
        <v>18</v>
      </c>
      <c r="S4" s="11">
        <v>1</v>
      </c>
      <c r="T4" s="12" t="s">
        <v>19</v>
      </c>
      <c r="U4" s="12">
        <v>1.1000000000000001</v>
      </c>
      <c r="V4" s="5" t="s">
        <v>20</v>
      </c>
      <c r="W4" s="6">
        <v>1.5</v>
      </c>
      <c r="X4" s="4" t="s">
        <v>21</v>
      </c>
      <c r="Y4" s="9">
        <v>0.35</v>
      </c>
      <c r="Z4" s="13" t="s">
        <v>22</v>
      </c>
      <c r="AA4" s="3" t="s">
        <v>23</v>
      </c>
      <c r="AB4" s="14" t="s">
        <v>24</v>
      </c>
      <c r="AC4" s="158" t="s">
        <v>25</v>
      </c>
      <c r="AD4" s="14" t="s">
        <v>26</v>
      </c>
      <c r="AE4" s="15" t="s">
        <v>27</v>
      </c>
    </row>
    <row r="5" spans="1:34">
      <c r="A5" s="17" t="s">
        <v>28</v>
      </c>
      <c r="B5" s="28">
        <v>94558569</v>
      </c>
      <c r="C5" s="29" t="s">
        <v>29</v>
      </c>
      <c r="D5" s="130"/>
      <c r="E5" s="30">
        <f>F5/8</f>
        <v>13837.5</v>
      </c>
      <c r="F5" s="31">
        <v>110700</v>
      </c>
      <c r="G5" s="32"/>
      <c r="H5" s="44">
        <f>F5*G5</f>
        <v>0</v>
      </c>
      <c r="I5" s="31"/>
      <c r="J5" s="33"/>
      <c r="K5" s="31"/>
      <c r="L5" s="34"/>
      <c r="M5" s="35">
        <f>(E5*L5)</f>
        <v>0</v>
      </c>
      <c r="N5" s="36"/>
      <c r="O5" s="35">
        <f>(E5*($O$4+1)*N5)</f>
        <v>0</v>
      </c>
      <c r="P5" s="37"/>
      <c r="Q5" s="35">
        <f>(E5*($Q$4+1)*P5)</f>
        <v>0</v>
      </c>
      <c r="R5" s="38"/>
      <c r="S5" s="35">
        <f>(E5*($S$4+1)*R5)</f>
        <v>0</v>
      </c>
      <c r="T5" s="35"/>
      <c r="U5" s="35">
        <f t="shared" ref="U5:U24" si="0">(E5*($U$4+1)*T5)</f>
        <v>0</v>
      </c>
      <c r="V5" s="38"/>
      <c r="W5" s="31">
        <f>(E5*($W$4+1)*V5)</f>
        <v>0</v>
      </c>
      <c r="X5" s="38"/>
      <c r="Y5" s="31">
        <f>(E5*($Y$4+1)*X5)</f>
        <v>0</v>
      </c>
      <c r="Z5" s="31">
        <f>H5+I5+J5+M5+O5+S5+U5+W5+Y5-K5+Q5</f>
        <v>0</v>
      </c>
      <c r="AA5" s="39"/>
      <c r="AB5" s="40">
        <v>46000</v>
      </c>
      <c r="AC5" s="162">
        <f>Z5+AA5-AB5</f>
        <v>-46000</v>
      </c>
      <c r="AD5" s="41">
        <v>0</v>
      </c>
      <c r="AE5" s="47"/>
    </row>
    <row r="6" spans="1:34">
      <c r="A6" s="17" t="s">
        <v>30</v>
      </c>
      <c r="B6" s="28">
        <v>6163973</v>
      </c>
      <c r="C6" s="42">
        <v>142184027</v>
      </c>
      <c r="D6" s="137"/>
      <c r="E6" s="30">
        <f>F6/8</f>
        <v>13837.5</v>
      </c>
      <c r="F6" s="31">
        <v>110700</v>
      </c>
      <c r="G6" s="43"/>
      <c r="H6" s="44">
        <f>G6*F6</f>
        <v>0</v>
      </c>
      <c r="I6" s="31"/>
      <c r="J6" s="33"/>
      <c r="K6" s="31"/>
      <c r="L6" s="38"/>
      <c r="M6" s="35">
        <f>(E6*L6)</f>
        <v>0</v>
      </c>
      <c r="N6" s="38"/>
      <c r="O6" s="35">
        <f>(E6*($O$4+1)*N6)</f>
        <v>0</v>
      </c>
      <c r="P6" s="37"/>
      <c r="Q6" s="35">
        <f t="shared" ref="Q6:Q14" si="1">(E6*($Q$4+1)*P6)</f>
        <v>0</v>
      </c>
      <c r="R6" s="38"/>
      <c r="S6" s="35">
        <f t="shared" ref="S6:S24" si="2">(E6*($S$4+1)*R6)</f>
        <v>0</v>
      </c>
      <c r="T6" s="35"/>
      <c r="U6" s="35">
        <f t="shared" si="0"/>
        <v>0</v>
      </c>
      <c r="V6" s="38"/>
      <c r="W6" s="31">
        <f>(E6*($W$4+1)*V6)</f>
        <v>0</v>
      </c>
      <c r="X6" s="19"/>
      <c r="Y6" s="31">
        <f>(E6*($Y$4+1)*X6)</f>
        <v>0</v>
      </c>
      <c r="Z6" s="31">
        <f t="shared" ref="Z6:Z24" si="3">H6+I6+J6+M6+O6+S6+U6+W6+Y6-K6+Q6</f>
        <v>0</v>
      </c>
      <c r="AA6" s="57">
        <v>102000</v>
      </c>
      <c r="AB6" s="46"/>
      <c r="AC6" s="162">
        <f>Z6+AA6-AB6</f>
        <v>102000</v>
      </c>
      <c r="AD6" s="41">
        <v>0</v>
      </c>
      <c r="AE6" s="47"/>
    </row>
    <row r="7" spans="1:34">
      <c r="A7" s="113" t="s">
        <v>31</v>
      </c>
      <c r="B7" s="28">
        <v>1006011966</v>
      </c>
      <c r="C7" s="48">
        <v>164461378</v>
      </c>
      <c r="D7" s="137">
        <f>B28+80000</f>
        <v>1830905</v>
      </c>
      <c r="E7" s="30">
        <f>F7/7.333</f>
        <v>8322.6737578980865</v>
      </c>
      <c r="F7" s="31">
        <f>D7/30</f>
        <v>61030.166666666664</v>
      </c>
      <c r="G7" s="43"/>
      <c r="H7" s="44">
        <f>G7*F7</f>
        <v>0</v>
      </c>
      <c r="I7" s="49">
        <f>(249095/30)*G7</f>
        <v>0</v>
      </c>
      <c r="J7" s="50"/>
      <c r="K7" s="51">
        <f>((($B$28/2)*8%)/15)*G7</f>
        <v>0</v>
      </c>
      <c r="L7" s="38"/>
      <c r="M7" s="165">
        <f>(E7*($M$4+1)*L7)</f>
        <v>0</v>
      </c>
      <c r="N7" s="19"/>
      <c r="O7" s="35">
        <f>(E7*($O$4)*N7)</f>
        <v>0</v>
      </c>
      <c r="P7" s="52"/>
      <c r="Q7" s="35">
        <f t="shared" si="1"/>
        <v>0</v>
      </c>
      <c r="R7" s="38"/>
      <c r="S7" s="35">
        <f>(E7*($S$4)*R7)</f>
        <v>0</v>
      </c>
      <c r="T7" s="35"/>
      <c r="U7" s="35">
        <f>(E7*($U$4)*T7)</f>
        <v>0</v>
      </c>
      <c r="V7" s="38"/>
      <c r="W7" s="31">
        <f>(E7*($W$4)*V7)</f>
        <v>0</v>
      </c>
      <c r="X7" s="19"/>
      <c r="Y7" s="31">
        <f>(E7*($Y$4)*X7)</f>
        <v>0</v>
      </c>
      <c r="Z7" s="31">
        <f>H7+I7+J7+M7+O7+S7+U7+W7+Y7-K7+Q7</f>
        <v>0</v>
      </c>
      <c r="AA7" s="160">
        <v>61200</v>
      </c>
      <c r="AB7" s="45"/>
      <c r="AC7" s="162">
        <f>Z7+AA7-AB7</f>
        <v>61200</v>
      </c>
      <c r="AD7" s="41">
        <v>0</v>
      </c>
      <c r="AE7" s="47"/>
    </row>
    <row r="8" spans="1:34">
      <c r="A8" s="113" t="s">
        <v>32</v>
      </c>
      <c r="B8" s="54">
        <v>1006172144</v>
      </c>
      <c r="C8" s="66">
        <v>445515752</v>
      </c>
      <c r="D8" s="138">
        <f>(1800000*10%)+1800000</f>
        <v>1980000</v>
      </c>
      <c r="E8" s="30">
        <f t="shared" ref="E8:E24" si="4">F8/7.333</f>
        <v>9000.4091095049771</v>
      </c>
      <c r="F8" s="31">
        <f>D8/30</f>
        <v>66000</v>
      </c>
      <c r="G8" s="43"/>
      <c r="H8" s="44">
        <f>G8*F8</f>
        <v>0</v>
      </c>
      <c r="I8" s="49">
        <f t="shared" ref="I8:I24" si="5">(249095/30)*G8</f>
        <v>0</v>
      </c>
      <c r="J8" s="33"/>
      <c r="K8" s="51">
        <f>((($B$28/2)*8%)/15)*G8</f>
        <v>0</v>
      </c>
      <c r="L8" s="161"/>
      <c r="M8" s="165">
        <f t="shared" ref="M8:M24" si="6">(E8*($M$4+1)*L8)</f>
        <v>0</v>
      </c>
      <c r="N8" s="18"/>
      <c r="O8" s="35">
        <f t="shared" ref="O8:O25" si="7">(E8*($O$4)*N8)</f>
        <v>0</v>
      </c>
      <c r="P8" s="52"/>
      <c r="Q8" s="35">
        <f t="shared" si="1"/>
        <v>0</v>
      </c>
      <c r="R8" s="56"/>
      <c r="S8" s="35">
        <f t="shared" ref="S8:S24" si="8">(E8*($S$4)*R8)</f>
        <v>0</v>
      </c>
      <c r="T8" s="35"/>
      <c r="U8" s="35">
        <f t="shared" ref="U8:U24" si="9">(E8*($U$4)*T8)</f>
        <v>0</v>
      </c>
      <c r="V8" s="38"/>
      <c r="W8" s="31">
        <f>(E8*($W$4)*V8)</f>
        <v>0</v>
      </c>
      <c r="X8" s="19"/>
      <c r="Y8" s="31">
        <f>(E8*($Y$4)*X8)</f>
        <v>0</v>
      </c>
      <c r="Z8" s="31">
        <f>H8+I8+J8+M8+O8+S8+U8+W8+Y8-K8+Q8</f>
        <v>0</v>
      </c>
      <c r="AA8" s="57">
        <v>32200</v>
      </c>
      <c r="AB8" s="57"/>
      <c r="AC8" s="162">
        <f>Z8+AA8-AB8</f>
        <v>32200</v>
      </c>
      <c r="AD8" s="41">
        <v>0</v>
      </c>
      <c r="AE8" s="58"/>
    </row>
    <row r="9" spans="1:34">
      <c r="A9" s="115" t="s">
        <v>33</v>
      </c>
      <c r="B9" s="128">
        <v>1111538848</v>
      </c>
      <c r="C9" s="127">
        <v>487430761</v>
      </c>
      <c r="D9" s="139">
        <f>B28</f>
        <v>1750905</v>
      </c>
      <c r="E9" s="30">
        <f t="shared" si="4"/>
        <v>7959.0208645847533</v>
      </c>
      <c r="F9" s="31">
        <f t="shared" ref="F8:F24" si="10">D9/30</f>
        <v>58363.5</v>
      </c>
      <c r="G9" s="61"/>
      <c r="H9" s="44">
        <f>G9*F9</f>
        <v>0</v>
      </c>
      <c r="I9" s="49">
        <f t="shared" si="5"/>
        <v>0</v>
      </c>
      <c r="J9" s="33"/>
      <c r="K9" s="51">
        <f t="shared" ref="K8:K14" si="11">((($B$28/2)*8%)/15)*G9</f>
        <v>0</v>
      </c>
      <c r="L9" s="38"/>
      <c r="M9" s="165">
        <f t="shared" si="6"/>
        <v>0</v>
      </c>
      <c r="N9" s="19"/>
      <c r="O9" s="35">
        <f t="shared" si="7"/>
        <v>0</v>
      </c>
      <c r="P9" s="52">
        <v>8</v>
      </c>
      <c r="Q9" s="35">
        <f>((E9*Q4)+E9)*P9</f>
        <v>114609.90045002045</v>
      </c>
      <c r="R9" s="56"/>
      <c r="S9" s="35">
        <f t="shared" si="8"/>
        <v>0</v>
      </c>
      <c r="T9" s="35"/>
      <c r="U9" s="35">
        <f t="shared" si="9"/>
        <v>0</v>
      </c>
      <c r="V9" s="38"/>
      <c r="W9" s="31">
        <f>(E9*($W$4)*V9)</f>
        <v>0</v>
      </c>
      <c r="X9" s="19"/>
      <c r="Y9" s="31">
        <f>(E9*($Y$4)*X9)</f>
        <v>0</v>
      </c>
      <c r="Z9" s="62">
        <f>H9+I9+J9+M9+O9+S9+U9+W9+Y9-K9+Q9</f>
        <v>114609.90045002045</v>
      </c>
      <c r="AA9" s="63">
        <v>102000</v>
      </c>
      <c r="AB9" s="64"/>
      <c r="AC9" s="162">
        <f>Z9+AA9-AB9</f>
        <v>216609.90045002045</v>
      </c>
      <c r="AD9" s="41">
        <v>0</v>
      </c>
      <c r="AE9" s="65"/>
    </row>
    <row r="10" spans="1:34">
      <c r="A10" s="118" t="s">
        <v>34</v>
      </c>
      <c r="B10" s="54">
        <v>94493221</v>
      </c>
      <c r="C10" s="129">
        <v>166203299</v>
      </c>
      <c r="D10" s="140">
        <v>3000000</v>
      </c>
      <c r="E10" s="30">
        <f t="shared" si="4"/>
        <v>13636.983499249965</v>
      </c>
      <c r="F10" s="31">
        <f t="shared" si="10"/>
        <v>100000</v>
      </c>
      <c r="G10" s="61"/>
      <c r="H10" s="44">
        <f>G10*F10</f>
        <v>0</v>
      </c>
      <c r="I10" s="49">
        <f t="shared" si="5"/>
        <v>0</v>
      </c>
      <c r="J10" s="62"/>
      <c r="K10" s="51">
        <f t="shared" si="11"/>
        <v>0</v>
      </c>
      <c r="L10" s="67"/>
      <c r="M10" s="165">
        <f t="shared" si="6"/>
        <v>0</v>
      </c>
      <c r="N10" s="69"/>
      <c r="O10" s="35">
        <f t="shared" si="7"/>
        <v>0</v>
      </c>
      <c r="P10" s="70"/>
      <c r="Q10" s="35">
        <f>(E10*($Q$4+1)*P10)</f>
        <v>0</v>
      </c>
      <c r="R10" s="71"/>
      <c r="S10" s="35">
        <f t="shared" si="8"/>
        <v>0</v>
      </c>
      <c r="T10" s="68"/>
      <c r="U10" s="35">
        <f t="shared" si="9"/>
        <v>0</v>
      </c>
      <c r="V10" s="67"/>
      <c r="W10" s="62">
        <f>(E10*($W$4+1)*V10)</f>
        <v>0</v>
      </c>
      <c r="X10" s="69"/>
      <c r="Y10" s="72">
        <f>(E10*($Y$4+1)*X10)</f>
        <v>0</v>
      </c>
      <c r="Z10" s="31">
        <f>H10+I10+J10+M10+O10+S10+U10+W10+Y10-K10+Q10</f>
        <v>0</v>
      </c>
      <c r="AA10" s="73"/>
      <c r="AB10" s="64"/>
      <c r="AC10" s="163">
        <f>Z10+AA10-AB10</f>
        <v>0</v>
      </c>
      <c r="AD10" s="41">
        <v>0</v>
      </c>
      <c r="AE10" s="74"/>
    </row>
    <row r="11" spans="1:34">
      <c r="A11" s="113" t="s">
        <v>35</v>
      </c>
      <c r="B11" s="59">
        <v>1111797488</v>
      </c>
      <c r="C11" s="55">
        <v>487416612</v>
      </c>
      <c r="D11" s="141">
        <f>B28+50000</f>
        <v>1800905</v>
      </c>
      <c r="E11" s="30">
        <f t="shared" si="4"/>
        <v>8186.3039229055858</v>
      </c>
      <c r="F11" s="31">
        <f t="shared" si="10"/>
        <v>60030.166666666664</v>
      </c>
      <c r="G11" s="43"/>
      <c r="H11" s="44">
        <f>G11*F11</f>
        <v>0</v>
      </c>
      <c r="I11" s="49">
        <f t="shared" si="5"/>
        <v>0</v>
      </c>
      <c r="J11" s="33"/>
      <c r="K11" s="51">
        <f t="shared" si="11"/>
        <v>0</v>
      </c>
      <c r="L11" s="38">
        <v>6</v>
      </c>
      <c r="M11" s="165">
        <f t="shared" si="6"/>
        <v>61397.279421791885</v>
      </c>
      <c r="N11" s="19"/>
      <c r="O11" s="35">
        <f t="shared" si="7"/>
        <v>0</v>
      </c>
      <c r="P11" s="52">
        <v>16</v>
      </c>
      <c r="Q11" s="35">
        <f t="shared" si="1"/>
        <v>235765.55297968088</v>
      </c>
      <c r="R11" s="38"/>
      <c r="S11" s="35">
        <f t="shared" si="8"/>
        <v>0</v>
      </c>
      <c r="T11" s="35"/>
      <c r="U11" s="35">
        <f t="shared" si="9"/>
        <v>0</v>
      </c>
      <c r="V11" s="38"/>
      <c r="W11" s="31">
        <f>(E11*($W$4)*V11)</f>
        <v>0</v>
      </c>
      <c r="X11" s="19"/>
      <c r="Y11" s="31">
        <f>(E11*($Y$4)*X11)</f>
        <v>0</v>
      </c>
      <c r="Z11" s="60">
        <f>H11+I11+J11+M11+O11+S11+U11+W11+Y11-K11+Q11</f>
        <v>297162.83240147278</v>
      </c>
      <c r="AA11" s="57">
        <v>52000</v>
      </c>
      <c r="AB11" s="75"/>
      <c r="AC11" s="163">
        <f>Z11+AA11-AB11</f>
        <v>349162.83240147278</v>
      </c>
      <c r="AD11" s="41">
        <v>0</v>
      </c>
      <c r="AE11" s="58"/>
      <c r="AH11" s="76"/>
    </row>
    <row r="12" spans="1:34">
      <c r="A12" s="113" t="s">
        <v>36</v>
      </c>
      <c r="B12" s="77" t="s">
        <v>37</v>
      </c>
      <c r="C12" s="69">
        <v>256524836</v>
      </c>
      <c r="D12" s="142">
        <f>B28+50000</f>
        <v>1800905</v>
      </c>
      <c r="E12" s="30">
        <f t="shared" si="4"/>
        <v>8186.3039229055858</v>
      </c>
      <c r="F12" s="31">
        <f t="shared" si="10"/>
        <v>60030.166666666664</v>
      </c>
      <c r="G12" s="43"/>
      <c r="H12" s="44">
        <f>F12*G12</f>
        <v>0</v>
      </c>
      <c r="I12" s="49">
        <f t="shared" si="5"/>
        <v>0</v>
      </c>
      <c r="J12" s="50"/>
      <c r="K12" s="51">
        <f t="shared" si="11"/>
        <v>0</v>
      </c>
      <c r="L12" s="38"/>
      <c r="M12" s="165">
        <f t="shared" si="6"/>
        <v>0</v>
      </c>
      <c r="N12" s="19"/>
      <c r="O12" s="35">
        <f t="shared" si="7"/>
        <v>0</v>
      </c>
      <c r="P12" s="52">
        <v>8</v>
      </c>
      <c r="Q12" s="35">
        <f t="shared" si="1"/>
        <v>117882.77648984044</v>
      </c>
      <c r="R12" s="38"/>
      <c r="S12" s="35">
        <f t="shared" si="8"/>
        <v>0</v>
      </c>
      <c r="T12" s="35"/>
      <c r="U12" s="35">
        <f t="shared" si="9"/>
        <v>0</v>
      </c>
      <c r="V12" s="38"/>
      <c r="W12" s="31">
        <f>(E12*($W$4+1)*V12)</f>
        <v>0</v>
      </c>
      <c r="X12" s="19"/>
      <c r="Y12" s="31">
        <f>(E12*($Y$4+1)*X12)</f>
        <v>0</v>
      </c>
      <c r="Z12" s="31">
        <f t="shared" si="3"/>
        <v>117882.77648984044</v>
      </c>
      <c r="AA12" s="57">
        <v>102000</v>
      </c>
      <c r="AB12" s="78"/>
      <c r="AC12" s="163">
        <f>Z12+AA12-AB12</f>
        <v>219882.77648984044</v>
      </c>
      <c r="AD12" s="41">
        <v>0</v>
      </c>
      <c r="AE12" s="58"/>
    </row>
    <row r="13" spans="1:34">
      <c r="A13" s="116" t="s">
        <v>38</v>
      </c>
      <c r="B13" s="28">
        <v>1007838659</v>
      </c>
      <c r="C13" s="79">
        <v>487432619</v>
      </c>
      <c r="D13" s="143">
        <f>B28</f>
        <v>1750905</v>
      </c>
      <c r="E13" s="30">
        <f t="shared" si="4"/>
        <v>7959.0208645847533</v>
      </c>
      <c r="F13" s="31">
        <f>D13/30</f>
        <v>58363.5</v>
      </c>
      <c r="G13" s="43"/>
      <c r="H13" s="157">
        <f>G13*F13</f>
        <v>0</v>
      </c>
      <c r="I13" s="49">
        <f t="shared" si="5"/>
        <v>0</v>
      </c>
      <c r="J13" s="80"/>
      <c r="K13" s="51">
        <f t="shared" si="11"/>
        <v>0</v>
      </c>
      <c r="L13" s="38"/>
      <c r="M13" s="165">
        <f t="shared" si="6"/>
        <v>0</v>
      </c>
      <c r="N13" s="19"/>
      <c r="O13" s="35">
        <f t="shared" si="7"/>
        <v>0</v>
      </c>
      <c r="P13" s="81">
        <v>8</v>
      </c>
      <c r="Q13" s="35">
        <f t="shared" si="1"/>
        <v>114609.90045002045</v>
      </c>
      <c r="R13" s="82"/>
      <c r="S13" s="35">
        <f t="shared" si="8"/>
        <v>0</v>
      </c>
      <c r="T13" s="35"/>
      <c r="U13" s="35">
        <f t="shared" si="9"/>
        <v>0</v>
      </c>
      <c r="V13" s="38"/>
      <c r="W13" s="31">
        <f t="shared" ref="W13:W24" si="12">(E13*($W$4)*V13)</f>
        <v>0</v>
      </c>
      <c r="X13" s="19"/>
      <c r="Y13" s="31">
        <f t="shared" ref="Y13:Y24" si="13">(E13*($Y$4)*X13)</f>
        <v>0</v>
      </c>
      <c r="Z13" s="31">
        <f t="shared" si="3"/>
        <v>114609.90045002045</v>
      </c>
      <c r="AA13" s="57">
        <v>52000</v>
      </c>
      <c r="AB13" s="45">
        <v>200000</v>
      </c>
      <c r="AC13" s="164">
        <f>Z13+AA13-AB13</f>
        <v>-33390.099549979554</v>
      </c>
      <c r="AD13" s="41">
        <v>200000</v>
      </c>
      <c r="AE13" s="83">
        <v>0</v>
      </c>
    </row>
    <row r="14" spans="1:34" ht="25.5">
      <c r="A14" s="114" t="s">
        <v>39</v>
      </c>
      <c r="B14" s="28">
        <v>1006202963</v>
      </c>
      <c r="C14" s="84" t="s">
        <v>40</v>
      </c>
      <c r="D14" s="143">
        <f>B28+50000</f>
        <v>1800905</v>
      </c>
      <c r="E14" s="30">
        <f t="shared" si="4"/>
        <v>8186.3039229055858</v>
      </c>
      <c r="F14" s="31">
        <f t="shared" si="10"/>
        <v>60030.166666666664</v>
      </c>
      <c r="G14" s="85"/>
      <c r="H14" s="157">
        <f>G14*F14</f>
        <v>0</v>
      </c>
      <c r="I14" s="49">
        <f t="shared" si="5"/>
        <v>0</v>
      </c>
      <c r="J14" s="86"/>
      <c r="K14" s="51">
        <f t="shared" si="11"/>
        <v>0</v>
      </c>
      <c r="L14" s="87"/>
      <c r="M14" s="165">
        <f t="shared" si="6"/>
        <v>0</v>
      </c>
      <c r="N14" s="89"/>
      <c r="O14" s="35">
        <f t="shared" si="7"/>
        <v>0</v>
      </c>
      <c r="P14" s="52">
        <v>8</v>
      </c>
      <c r="Q14" s="35">
        <f>(E14*($Q$4+1)*P14)</f>
        <v>117882.77648984044</v>
      </c>
      <c r="R14" s="90"/>
      <c r="S14" s="35">
        <f t="shared" si="8"/>
        <v>0</v>
      </c>
      <c r="T14" s="88"/>
      <c r="U14" s="35">
        <f t="shared" si="9"/>
        <v>0</v>
      </c>
      <c r="V14" s="87"/>
      <c r="W14" s="60">
        <f t="shared" si="12"/>
        <v>0</v>
      </c>
      <c r="X14" s="89"/>
      <c r="Y14" s="60">
        <f t="shared" si="13"/>
        <v>0</v>
      </c>
      <c r="Z14" s="31">
        <f t="shared" si="3"/>
        <v>117882.77648984044</v>
      </c>
      <c r="AA14" s="78">
        <v>35200</v>
      </c>
      <c r="AB14" s="45">
        <f>61600+90000</f>
        <v>151600</v>
      </c>
      <c r="AC14" s="162">
        <f>Z14+AA14-AB14</f>
        <v>1482.7764898404421</v>
      </c>
      <c r="AD14" s="133" t="s">
        <v>41</v>
      </c>
      <c r="AE14" s="134" t="s">
        <v>42</v>
      </c>
    </row>
    <row r="15" spans="1:34" s="147" customFormat="1">
      <c r="A15" s="146"/>
      <c r="B15" s="28"/>
      <c r="C15" s="79"/>
      <c r="D15" s="143"/>
      <c r="E15" s="30">
        <f t="shared" si="4"/>
        <v>0</v>
      </c>
      <c r="F15" s="31"/>
      <c r="G15" s="85"/>
      <c r="H15" s="155">
        <f>SUM(H5:H14)-H10</f>
        <v>0</v>
      </c>
      <c r="I15" s="156"/>
      <c r="J15" s="94"/>
      <c r="K15" s="51"/>
      <c r="L15" s="87"/>
      <c r="M15" s="165">
        <f t="shared" si="6"/>
        <v>0</v>
      </c>
      <c r="N15" s="89"/>
      <c r="O15" s="35">
        <f t="shared" si="7"/>
        <v>0</v>
      </c>
      <c r="P15" s="37"/>
      <c r="Q15" s="101">
        <f>SUM(Q5:Q14)</f>
        <v>700750.90685940266</v>
      </c>
      <c r="R15" s="90"/>
      <c r="S15" s="35">
        <f t="shared" si="8"/>
        <v>0</v>
      </c>
      <c r="T15" s="88"/>
      <c r="U15" s="35">
        <f t="shared" si="9"/>
        <v>0</v>
      </c>
      <c r="V15" s="87"/>
      <c r="W15" s="60"/>
      <c r="X15" s="89"/>
      <c r="Y15" s="60"/>
      <c r="Z15" s="31"/>
      <c r="AA15" s="91"/>
      <c r="AB15" s="45"/>
      <c r="AC15" s="159">
        <f>SUM(AC5:AC14)-AC10</f>
        <v>903148.18628119456</v>
      </c>
      <c r="AD15" s="133"/>
      <c r="AE15" s="134"/>
    </row>
    <row r="16" spans="1:34" s="147" customFormat="1">
      <c r="A16" s="146"/>
      <c r="B16" s="28"/>
      <c r="C16" s="79"/>
      <c r="D16" s="143"/>
      <c r="E16" s="30">
        <f t="shared" si="4"/>
        <v>0</v>
      </c>
      <c r="F16" s="31"/>
      <c r="G16" s="85"/>
      <c r="H16" s="151"/>
      <c r="I16" s="49"/>
      <c r="J16" s="94"/>
      <c r="K16" s="51"/>
      <c r="L16" s="87"/>
      <c r="M16" s="165">
        <f t="shared" si="6"/>
        <v>0</v>
      </c>
      <c r="N16" s="89"/>
      <c r="O16" s="35">
        <f t="shared" si="7"/>
        <v>0</v>
      </c>
      <c r="P16" s="37"/>
      <c r="Q16" s="35">
        <f t="shared" ref="Q8:Q24" si="14">(E16*($Q$4)*P16)</f>
        <v>0</v>
      </c>
      <c r="R16" s="90"/>
      <c r="S16" s="35">
        <f t="shared" si="8"/>
        <v>0</v>
      </c>
      <c r="T16" s="88"/>
      <c r="U16" s="35">
        <f t="shared" si="9"/>
        <v>0</v>
      </c>
      <c r="V16" s="87"/>
      <c r="W16" s="60"/>
      <c r="X16" s="89"/>
      <c r="Y16" s="60"/>
      <c r="Z16" s="31"/>
      <c r="AA16" s="91"/>
      <c r="AB16" s="45"/>
      <c r="AC16" s="53"/>
      <c r="AD16" s="133"/>
      <c r="AE16" s="134"/>
    </row>
    <row r="17" spans="1:33">
      <c r="A17" s="117" t="s">
        <v>43</v>
      </c>
      <c r="B17" s="28">
        <v>1116242414</v>
      </c>
      <c r="C17" s="79">
        <v>186736849</v>
      </c>
      <c r="D17" s="138">
        <f>(1800000*10%)+1800000</f>
        <v>1980000</v>
      </c>
      <c r="E17" s="30">
        <f t="shared" si="4"/>
        <v>9000.4091095049771</v>
      </c>
      <c r="F17" s="31">
        <f t="shared" si="10"/>
        <v>66000</v>
      </c>
      <c r="G17" s="85"/>
      <c r="H17" s="44">
        <f>G17*F17</f>
        <v>0</v>
      </c>
      <c r="I17" s="49">
        <f t="shared" si="5"/>
        <v>0</v>
      </c>
      <c r="J17" s="86"/>
      <c r="K17" s="51">
        <f t="shared" ref="K17:K24" si="15">((($B$28/2)*8%)/15)*G17</f>
        <v>0</v>
      </c>
      <c r="L17" s="87">
        <v>8</v>
      </c>
      <c r="M17" s="165">
        <f t="shared" si="6"/>
        <v>90004.091095049778</v>
      </c>
      <c r="N17" s="89"/>
      <c r="O17" s="35">
        <f t="shared" si="7"/>
        <v>0</v>
      </c>
      <c r="P17" s="52"/>
      <c r="Q17" s="35">
        <f t="shared" ref="Q17:Q24" si="16">(E17*($Q$4+1)*P17)</f>
        <v>0</v>
      </c>
      <c r="R17" s="90"/>
      <c r="S17" s="35">
        <f t="shared" si="8"/>
        <v>0</v>
      </c>
      <c r="T17" s="88"/>
      <c r="U17" s="35">
        <f t="shared" si="9"/>
        <v>0</v>
      </c>
      <c r="V17" s="87"/>
      <c r="W17" s="60">
        <f t="shared" si="12"/>
        <v>0</v>
      </c>
      <c r="X17" s="89"/>
      <c r="Y17" s="60">
        <f t="shared" si="13"/>
        <v>0</v>
      </c>
      <c r="Z17" s="31">
        <f t="shared" si="3"/>
        <v>90004.091095049778</v>
      </c>
      <c r="AA17" s="91"/>
      <c r="AB17" s="45"/>
      <c r="AC17" s="53">
        <f>Z17+AA17-AB17</f>
        <v>90004.091095049778</v>
      </c>
      <c r="AD17" s="41">
        <v>0</v>
      </c>
      <c r="AE17" s="47"/>
    </row>
    <row r="18" spans="1:33">
      <c r="A18" s="117" t="s">
        <v>44</v>
      </c>
      <c r="B18" s="28">
        <v>1018502331</v>
      </c>
      <c r="C18" s="19">
        <v>484605035</v>
      </c>
      <c r="D18" s="138">
        <f>(1800000*10%)+1800000</f>
        <v>1980000</v>
      </c>
      <c r="E18" s="30">
        <f t="shared" si="4"/>
        <v>9000.4091095049771</v>
      </c>
      <c r="F18" s="31">
        <f t="shared" si="10"/>
        <v>66000</v>
      </c>
      <c r="G18" s="85"/>
      <c r="H18" s="44">
        <f>G18*F18</f>
        <v>0</v>
      </c>
      <c r="I18" s="49">
        <f t="shared" si="5"/>
        <v>0</v>
      </c>
      <c r="J18" s="86"/>
      <c r="K18" s="51">
        <f t="shared" si="15"/>
        <v>0</v>
      </c>
      <c r="L18" s="87">
        <v>12</v>
      </c>
      <c r="M18" s="165">
        <f t="shared" si="6"/>
        <v>135006.13664257468</v>
      </c>
      <c r="N18" s="89"/>
      <c r="O18" s="35">
        <f t="shared" si="7"/>
        <v>0</v>
      </c>
      <c r="P18" s="52">
        <v>8</v>
      </c>
      <c r="Q18" s="35">
        <f t="shared" si="16"/>
        <v>129605.89117687168</v>
      </c>
      <c r="R18" s="90"/>
      <c r="S18" s="35">
        <f t="shared" si="8"/>
        <v>0</v>
      </c>
      <c r="T18" s="88"/>
      <c r="U18" s="35">
        <f t="shared" si="9"/>
        <v>0</v>
      </c>
      <c r="V18" s="87"/>
      <c r="W18" s="60">
        <f t="shared" si="12"/>
        <v>0</v>
      </c>
      <c r="X18" s="89"/>
      <c r="Y18" s="60">
        <f t="shared" si="13"/>
        <v>0</v>
      </c>
      <c r="Z18" s="31">
        <f>H18+I18+J18+M18+O18+S18+U18+W18+Y18-K18+Q18</f>
        <v>264612.02781944635</v>
      </c>
      <c r="AA18" s="91"/>
      <c r="AB18" s="45">
        <v>230000</v>
      </c>
      <c r="AC18" s="53">
        <f>Z18+AA18-AB18</f>
        <v>34612.027819446346</v>
      </c>
      <c r="AD18" s="92">
        <v>430000</v>
      </c>
      <c r="AE18" s="58">
        <f>AD18-230000</f>
        <v>200000</v>
      </c>
    </row>
    <row r="19" spans="1:33">
      <c r="A19" s="116" t="s">
        <v>45</v>
      </c>
      <c r="B19" s="28">
        <v>16501191</v>
      </c>
      <c r="C19" s="93" t="s">
        <v>46</v>
      </c>
      <c r="D19" s="144">
        <f>B28</f>
        <v>1750905</v>
      </c>
      <c r="E19" s="30">
        <f t="shared" si="4"/>
        <v>7959.0208645847533</v>
      </c>
      <c r="F19" s="31">
        <f t="shared" si="10"/>
        <v>58363.5</v>
      </c>
      <c r="G19" s="85"/>
      <c r="H19" s="44">
        <f t="shared" ref="H19:H24" si="17">G19*F19</f>
        <v>0</v>
      </c>
      <c r="I19" s="49">
        <f t="shared" si="5"/>
        <v>0</v>
      </c>
      <c r="J19" s="94"/>
      <c r="K19" s="51">
        <f t="shared" si="15"/>
        <v>0</v>
      </c>
      <c r="L19" s="87">
        <v>20</v>
      </c>
      <c r="M19" s="165">
        <f t="shared" si="6"/>
        <v>198975.52161461883</v>
      </c>
      <c r="N19" s="89"/>
      <c r="O19" s="35">
        <f t="shared" si="7"/>
        <v>0</v>
      </c>
      <c r="P19" s="52"/>
      <c r="Q19" s="35">
        <f t="shared" si="16"/>
        <v>0</v>
      </c>
      <c r="R19" s="90"/>
      <c r="S19" s="35">
        <f t="shared" si="8"/>
        <v>0</v>
      </c>
      <c r="T19" s="88"/>
      <c r="U19" s="35">
        <f t="shared" si="9"/>
        <v>0</v>
      </c>
      <c r="V19" s="87"/>
      <c r="W19" s="60">
        <f t="shared" si="12"/>
        <v>0</v>
      </c>
      <c r="X19" s="89"/>
      <c r="Y19" s="60">
        <f t="shared" si="13"/>
        <v>0</v>
      </c>
      <c r="Z19" s="31">
        <f t="shared" si="3"/>
        <v>198975.52161461883</v>
      </c>
      <c r="AA19" s="91"/>
      <c r="AB19" s="45"/>
      <c r="AC19" s="162">
        <f>Z19+AA19-AB19</f>
        <v>198975.52161461883</v>
      </c>
      <c r="AD19" s="92">
        <v>0</v>
      </c>
      <c r="AE19" s="47"/>
    </row>
    <row r="20" spans="1:33">
      <c r="A20" s="116" t="s">
        <v>47</v>
      </c>
      <c r="B20" s="28">
        <v>16505237</v>
      </c>
      <c r="C20" s="19">
        <v>186817573</v>
      </c>
      <c r="D20" s="144">
        <f>B28</f>
        <v>1750905</v>
      </c>
      <c r="E20" s="30">
        <f t="shared" si="4"/>
        <v>7959.0208645847533</v>
      </c>
      <c r="F20" s="31">
        <f t="shared" si="10"/>
        <v>58363.5</v>
      </c>
      <c r="G20" s="85"/>
      <c r="H20" s="44">
        <f t="shared" si="17"/>
        <v>0</v>
      </c>
      <c r="I20" s="49">
        <f t="shared" si="5"/>
        <v>0</v>
      </c>
      <c r="J20" s="86"/>
      <c r="K20" s="51">
        <f t="shared" si="15"/>
        <v>0</v>
      </c>
      <c r="L20" s="87">
        <v>20</v>
      </c>
      <c r="M20" s="165">
        <f t="shared" si="6"/>
        <v>198975.52161461883</v>
      </c>
      <c r="N20" s="89"/>
      <c r="O20" s="35">
        <f t="shared" si="7"/>
        <v>0</v>
      </c>
      <c r="P20" s="52">
        <v>8</v>
      </c>
      <c r="Q20" s="35">
        <f t="shared" si="16"/>
        <v>114609.90045002045</v>
      </c>
      <c r="R20" s="90"/>
      <c r="S20" s="35">
        <f t="shared" si="8"/>
        <v>0</v>
      </c>
      <c r="T20" s="88"/>
      <c r="U20" s="35">
        <f t="shared" si="9"/>
        <v>0</v>
      </c>
      <c r="V20" s="87"/>
      <c r="W20" s="60">
        <f t="shared" si="12"/>
        <v>0</v>
      </c>
      <c r="X20" s="89"/>
      <c r="Y20" s="60">
        <f t="shared" si="13"/>
        <v>0</v>
      </c>
      <c r="Z20" s="31">
        <f>H20+I20+J20+M20+O20+S20+U20+W20+Y20-K20+Q20</f>
        <v>313585.42206463928</v>
      </c>
      <c r="AA20" s="91"/>
      <c r="AB20" s="45"/>
      <c r="AC20" s="53">
        <f>Z20+AA20-AB20</f>
        <v>313585.42206463928</v>
      </c>
      <c r="AD20" s="92">
        <v>0</v>
      </c>
      <c r="AE20" s="47"/>
    </row>
    <row r="21" spans="1:33">
      <c r="A21" s="120" t="s">
        <v>48</v>
      </c>
      <c r="B21" s="28">
        <v>1111747391</v>
      </c>
      <c r="C21" s="19">
        <v>186817581</v>
      </c>
      <c r="D21" s="144">
        <f>(B28*C29)+B28</f>
        <v>1840201.155</v>
      </c>
      <c r="E21" s="30">
        <f t="shared" si="4"/>
        <v>8364.9309286785756</v>
      </c>
      <c r="F21" s="31">
        <f t="shared" si="10"/>
        <v>61340.038500000002</v>
      </c>
      <c r="G21" s="85"/>
      <c r="H21" s="44">
        <f>G21*F21</f>
        <v>0</v>
      </c>
      <c r="I21" s="49">
        <f t="shared" si="5"/>
        <v>0</v>
      </c>
      <c r="J21" s="86"/>
      <c r="K21" s="51">
        <f t="shared" si="15"/>
        <v>0</v>
      </c>
      <c r="L21" s="87">
        <v>7</v>
      </c>
      <c r="M21" s="165">
        <f t="shared" si="6"/>
        <v>73193.145625937526</v>
      </c>
      <c r="N21" s="89"/>
      <c r="O21" s="35">
        <f t="shared" si="7"/>
        <v>0</v>
      </c>
      <c r="P21" s="52"/>
      <c r="Q21" s="35">
        <f t="shared" si="16"/>
        <v>0</v>
      </c>
      <c r="R21" s="90"/>
      <c r="S21" s="35">
        <f t="shared" si="8"/>
        <v>0</v>
      </c>
      <c r="T21" s="88"/>
      <c r="U21" s="35">
        <f t="shared" si="9"/>
        <v>0</v>
      </c>
      <c r="V21" s="87"/>
      <c r="W21" s="60">
        <f t="shared" si="12"/>
        <v>0</v>
      </c>
      <c r="X21" s="89"/>
      <c r="Y21" s="60">
        <f t="shared" si="13"/>
        <v>0</v>
      </c>
      <c r="Z21" s="31">
        <f t="shared" si="3"/>
        <v>73193.145625937526</v>
      </c>
      <c r="AA21" s="91"/>
      <c r="AB21" s="45"/>
      <c r="AC21" s="53">
        <f>Z21+AA21-AB21</f>
        <v>73193.145625937526</v>
      </c>
      <c r="AD21" s="92">
        <v>0</v>
      </c>
      <c r="AE21" s="47"/>
    </row>
    <row r="22" spans="1:33">
      <c r="A22" s="116" t="s">
        <v>49</v>
      </c>
      <c r="B22" s="28">
        <v>1006188943</v>
      </c>
      <c r="C22" s="69">
        <v>186817607</v>
      </c>
      <c r="D22" s="142">
        <f>B28</f>
        <v>1750905</v>
      </c>
      <c r="E22" s="30">
        <f t="shared" si="4"/>
        <v>7959.0208645847533</v>
      </c>
      <c r="F22" s="31">
        <f t="shared" si="10"/>
        <v>58363.5</v>
      </c>
      <c r="G22" s="85"/>
      <c r="H22" s="44">
        <f t="shared" si="17"/>
        <v>0</v>
      </c>
      <c r="I22" s="49">
        <f t="shared" si="5"/>
        <v>0</v>
      </c>
      <c r="J22" s="86"/>
      <c r="K22" s="51">
        <f t="shared" si="15"/>
        <v>0</v>
      </c>
      <c r="L22" s="87">
        <v>15</v>
      </c>
      <c r="M22" s="165">
        <f t="shared" si="6"/>
        <v>149231.64121096412</v>
      </c>
      <c r="N22" s="89"/>
      <c r="O22" s="35">
        <f t="shared" si="7"/>
        <v>0</v>
      </c>
      <c r="P22" s="52">
        <v>16</v>
      </c>
      <c r="Q22" s="35">
        <f t="shared" si="16"/>
        <v>229219.80090004089</v>
      </c>
      <c r="R22" s="90"/>
      <c r="S22" s="35">
        <f t="shared" si="8"/>
        <v>0</v>
      </c>
      <c r="T22" s="88"/>
      <c r="U22" s="35">
        <f t="shared" si="9"/>
        <v>0</v>
      </c>
      <c r="V22" s="87"/>
      <c r="W22" s="60">
        <f t="shared" si="12"/>
        <v>0</v>
      </c>
      <c r="X22" s="89"/>
      <c r="Y22" s="60">
        <f t="shared" si="13"/>
        <v>0</v>
      </c>
      <c r="Z22" s="31">
        <f t="shared" si="3"/>
        <v>378451.44211100502</v>
      </c>
      <c r="AA22" s="91"/>
      <c r="AB22" s="45"/>
      <c r="AC22" s="53">
        <f>Z22+AA22-AB22</f>
        <v>378451.44211100502</v>
      </c>
      <c r="AD22" s="92">
        <v>0</v>
      </c>
      <c r="AE22" s="47"/>
      <c r="AG22" s="76"/>
    </row>
    <row r="23" spans="1:33">
      <c r="A23" s="116" t="s">
        <v>50</v>
      </c>
      <c r="B23" s="95">
        <v>1006203947</v>
      </c>
      <c r="C23" s="19">
        <v>186821369</v>
      </c>
      <c r="D23" s="145">
        <f>B28</f>
        <v>1750905</v>
      </c>
      <c r="E23" s="30">
        <f t="shared" si="4"/>
        <v>7959.0208645847533</v>
      </c>
      <c r="F23" s="31">
        <f t="shared" si="10"/>
        <v>58363.5</v>
      </c>
      <c r="G23" s="85"/>
      <c r="H23" s="44">
        <f t="shared" si="17"/>
        <v>0</v>
      </c>
      <c r="I23" s="49">
        <f t="shared" si="5"/>
        <v>0</v>
      </c>
      <c r="J23" s="86"/>
      <c r="K23" s="51">
        <f t="shared" si="15"/>
        <v>0</v>
      </c>
      <c r="L23" s="87">
        <v>9</v>
      </c>
      <c r="M23" s="165">
        <f t="shared" si="6"/>
        <v>89538.984726578477</v>
      </c>
      <c r="N23" s="89"/>
      <c r="O23" s="35">
        <f t="shared" si="7"/>
        <v>0</v>
      </c>
      <c r="P23" s="52">
        <v>8</v>
      </c>
      <c r="Q23" s="35">
        <f t="shared" si="16"/>
        <v>114609.90045002045</v>
      </c>
      <c r="R23" s="90"/>
      <c r="S23" s="35">
        <f t="shared" si="8"/>
        <v>0</v>
      </c>
      <c r="T23" s="88"/>
      <c r="U23" s="35">
        <f t="shared" si="9"/>
        <v>0</v>
      </c>
      <c r="V23" s="87"/>
      <c r="W23" s="60">
        <f t="shared" si="12"/>
        <v>0</v>
      </c>
      <c r="X23" s="89"/>
      <c r="Y23" s="60">
        <f t="shared" si="13"/>
        <v>0</v>
      </c>
      <c r="Z23" s="31">
        <f t="shared" si="3"/>
        <v>204148.88517659891</v>
      </c>
      <c r="AA23" s="91"/>
      <c r="AB23" s="45"/>
      <c r="AC23" s="53">
        <f>Z23+AA23-AB23</f>
        <v>204148.88517659891</v>
      </c>
      <c r="AD23" s="92">
        <v>0</v>
      </c>
      <c r="AE23" s="47"/>
      <c r="AG23" s="76"/>
    </row>
    <row r="24" spans="1:33">
      <c r="A24" s="119" t="s">
        <v>51</v>
      </c>
      <c r="B24" s="95">
        <v>1111814116</v>
      </c>
      <c r="C24" s="19">
        <v>186821385</v>
      </c>
      <c r="D24" s="143">
        <f>(2000000*C29)+2000000</f>
        <v>2102000</v>
      </c>
      <c r="E24" s="30">
        <f t="shared" si="4"/>
        <v>9554.9797718078098</v>
      </c>
      <c r="F24" s="131">
        <f t="shared" si="10"/>
        <v>70066.666666666672</v>
      </c>
      <c r="G24" s="85"/>
      <c r="H24" s="157">
        <f t="shared" si="17"/>
        <v>0</v>
      </c>
      <c r="I24" s="49">
        <f t="shared" si="5"/>
        <v>0</v>
      </c>
      <c r="J24" s="86"/>
      <c r="K24" s="51">
        <f t="shared" si="15"/>
        <v>0</v>
      </c>
      <c r="L24" s="87">
        <v>15</v>
      </c>
      <c r="M24" s="165">
        <f t="shared" si="6"/>
        <v>179155.87072139644</v>
      </c>
      <c r="N24" s="89"/>
      <c r="O24" s="35">
        <f t="shared" si="7"/>
        <v>0</v>
      </c>
      <c r="P24" s="52">
        <v>24</v>
      </c>
      <c r="Q24" s="35">
        <f t="shared" si="16"/>
        <v>412775.1261420974</v>
      </c>
      <c r="R24" s="90"/>
      <c r="S24" s="35">
        <f t="shared" si="8"/>
        <v>0</v>
      </c>
      <c r="T24" s="88"/>
      <c r="U24" s="35">
        <f t="shared" si="9"/>
        <v>0</v>
      </c>
      <c r="V24" s="87"/>
      <c r="W24" s="60">
        <f t="shared" si="12"/>
        <v>0</v>
      </c>
      <c r="X24" s="89"/>
      <c r="Y24" s="60">
        <f t="shared" si="13"/>
        <v>0</v>
      </c>
      <c r="Z24" s="31">
        <f t="shared" si="3"/>
        <v>591930.99686349381</v>
      </c>
      <c r="AA24" s="91"/>
      <c r="AB24" s="45"/>
      <c r="AC24" s="53">
        <f>Z24+AA24-AB24</f>
        <v>591930.99686349381</v>
      </c>
      <c r="AD24" s="92">
        <v>0</v>
      </c>
      <c r="AE24" s="47"/>
      <c r="AG24" s="76"/>
    </row>
    <row r="25" spans="1:33" s="147" customFormat="1">
      <c r="A25" s="146"/>
      <c r="B25" s="95"/>
      <c r="C25" s="19"/>
      <c r="D25" s="148"/>
      <c r="E25" s="149"/>
      <c r="F25" s="94"/>
      <c r="G25" s="85"/>
      <c r="H25" s="155">
        <f>SUM(H17:H24)</f>
        <v>0</v>
      </c>
      <c r="I25" s="150"/>
      <c r="J25" s="94"/>
      <c r="K25" s="51"/>
      <c r="L25" s="87"/>
      <c r="M25" s="35">
        <f t="shared" ref="M8:M25" si="18">(E25*($M$4)*L25)</f>
        <v>0</v>
      </c>
      <c r="N25" s="89"/>
      <c r="O25" s="35">
        <f t="shared" si="7"/>
        <v>0</v>
      </c>
      <c r="P25" s="152"/>
      <c r="Q25" s="153">
        <f>SUM(Q17:Q24)</f>
        <v>1000820.6191190509</v>
      </c>
      <c r="R25" s="90"/>
      <c r="S25" s="88"/>
      <c r="T25" s="88"/>
      <c r="U25" s="88"/>
      <c r="V25" s="87"/>
      <c r="W25" s="60"/>
      <c r="X25" s="89"/>
      <c r="Y25" s="60"/>
      <c r="Z25" s="31"/>
      <c r="AA25" s="91"/>
      <c r="AB25" s="45"/>
      <c r="AC25" s="159">
        <f>SUM(AC17:AC24)</f>
        <v>1884901.5323707894</v>
      </c>
      <c r="AD25" s="92"/>
      <c r="AE25" s="47"/>
      <c r="AG25" s="154"/>
    </row>
    <row r="26" spans="1:33">
      <c r="A26" s="20" t="s">
        <v>52</v>
      </c>
      <c r="B26" s="96"/>
      <c r="C26" s="47"/>
      <c r="D26" s="126"/>
      <c r="E26" s="132">
        <f>SUM(E5:E14)</f>
        <v>99112.019864539296</v>
      </c>
      <c r="F26" s="97">
        <f>SUM(F5:F24)</f>
        <v>1242108.3718333333</v>
      </c>
      <c r="G26" s="98"/>
      <c r="H26" s="99" t="s">
        <v>53</v>
      </c>
      <c r="I26" s="99">
        <f>SUM(I5:I14)</f>
        <v>0</v>
      </c>
      <c r="J26" s="100">
        <f>SUM(J5:J24)</f>
        <v>0</v>
      </c>
      <c r="K26" s="100">
        <f>SUM(K5:K14)</f>
        <v>0</v>
      </c>
      <c r="L26" s="20"/>
      <c r="M26" s="100">
        <f>SUM(M17:M25)</f>
        <v>1114080.9132517388</v>
      </c>
      <c r="N26" s="20"/>
      <c r="O26" s="100">
        <f>SUM(O5:O14)</f>
        <v>0</v>
      </c>
      <c r="P26" s="99"/>
      <c r="Q26" s="99">
        <f>Q15+Q25</f>
        <v>1701571.5259784535</v>
      </c>
      <c r="R26" s="20"/>
      <c r="S26" s="101">
        <f>SUM(S5:S14)</f>
        <v>0</v>
      </c>
      <c r="T26" s="35"/>
      <c r="U26" s="101">
        <f>SUM(U5:U14)</f>
        <v>0</v>
      </c>
      <c r="V26" s="20"/>
      <c r="W26" s="100">
        <f>SUM(W5:W14)</f>
        <v>0</v>
      </c>
      <c r="X26" s="20"/>
      <c r="Y26" s="100">
        <f>SUM(Y5:Y14)</f>
        <v>0</v>
      </c>
      <c r="Z26" s="102">
        <f>SUM(Z5:Z24)</f>
        <v>2877049.7186519839</v>
      </c>
      <c r="AA26" s="103">
        <f>SUM(AA5:AA14)</f>
        <v>538600</v>
      </c>
      <c r="AB26" s="103">
        <f>SUM(AB5:AB14)</f>
        <v>397600</v>
      </c>
      <c r="AC26" s="104">
        <f>AC15+AC25</f>
        <v>2788049.7186519839</v>
      </c>
      <c r="AD26" s="58"/>
      <c r="AE26" s="105"/>
    </row>
    <row r="27" spans="1:33" ht="15">
      <c r="A27" s="247" t="s">
        <v>54</v>
      </c>
      <c r="B27" s="247"/>
      <c r="C27" s="247"/>
      <c r="D27" s="247"/>
      <c r="E27" s="247"/>
      <c r="F27" s="247"/>
      <c r="G27" s="247"/>
      <c r="H27" s="247"/>
      <c r="I27" s="247"/>
      <c r="AC27" s="76">
        <f>AC6+AC7+AC8+AC9+AC11+AC12+AC13+AC17+AC18+AC20+AC21+AC22+AC23+AC24</f>
        <v>2633591.4205475245</v>
      </c>
    </row>
    <row r="28" spans="1:33" ht="15">
      <c r="A28" s="21" t="s">
        <v>55</v>
      </c>
      <c r="B28" s="22">
        <v>1750905</v>
      </c>
      <c r="C28" s="135" t="s">
        <v>56</v>
      </c>
      <c r="D28" s="16"/>
      <c r="E28" s="16"/>
      <c r="F28" s="16"/>
      <c r="G28" s="16"/>
      <c r="H28" s="16"/>
      <c r="I28" s="16"/>
    </row>
    <row r="29" spans="1:33" ht="15">
      <c r="A29" s="23" t="s">
        <v>57</v>
      </c>
      <c r="B29" s="24">
        <v>249095</v>
      </c>
      <c r="C29" s="136">
        <v>5.0999999999999997E-2</v>
      </c>
      <c r="D29" s="16"/>
      <c r="E29" s="16"/>
      <c r="F29" s="16"/>
      <c r="G29" s="16"/>
      <c r="H29" s="16"/>
      <c r="I29" s="16"/>
      <c r="AE29" s="106"/>
    </row>
    <row r="30" spans="1:33" ht="15">
      <c r="A30" s="16"/>
      <c r="B30" s="16"/>
      <c r="C30" s="16"/>
      <c r="D30" s="16"/>
      <c r="E30" s="16"/>
      <c r="F30" s="16"/>
      <c r="G30" s="16"/>
      <c r="H30" s="16"/>
      <c r="I30" s="16"/>
      <c r="AE30" s="106"/>
    </row>
    <row r="31" spans="1:33" ht="29.25">
      <c r="A31" s="125" t="s">
        <v>58</v>
      </c>
      <c r="B31" s="16"/>
      <c r="C31" s="16"/>
      <c r="D31" s="16"/>
      <c r="E31" s="16"/>
      <c r="F31" s="16"/>
      <c r="G31" s="16"/>
      <c r="H31" s="16"/>
      <c r="I31" s="16"/>
      <c r="AE31" s="106"/>
      <c r="AG31" s="107"/>
    </row>
    <row r="32" spans="1:33" ht="15">
      <c r="A32" s="245" t="s">
        <v>59</v>
      </c>
      <c r="B32" s="16"/>
      <c r="C32" s="16"/>
      <c r="D32" s="16"/>
      <c r="E32" s="16"/>
      <c r="F32" s="16"/>
      <c r="G32" s="16"/>
      <c r="H32" s="16"/>
      <c r="I32" s="16"/>
      <c r="M32" s="249" t="s">
        <v>60</v>
      </c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AE32" s="106"/>
    </row>
    <row r="33" spans="1:31" ht="15">
      <c r="A33" s="245"/>
      <c r="B33" s="16"/>
      <c r="C33" s="16"/>
      <c r="D33" s="16"/>
      <c r="E33" s="16"/>
      <c r="F33" s="16"/>
      <c r="G33" s="16"/>
      <c r="H33" s="16"/>
      <c r="I33" s="16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AE33" s="106"/>
    </row>
    <row r="34" spans="1:31">
      <c r="F34" s="108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AE34" s="106"/>
    </row>
    <row r="35" spans="1:31">
      <c r="M35" s="250" t="s">
        <v>61</v>
      </c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AE35" s="106"/>
    </row>
    <row r="36" spans="1:31">
      <c r="J36" s="109"/>
      <c r="AE36" s="106"/>
    </row>
    <row r="37" spans="1:31">
      <c r="F37" s="108"/>
      <c r="J37" s="109"/>
      <c r="AE37" s="106"/>
    </row>
    <row r="38" spans="1:31">
      <c r="J38" s="109"/>
      <c r="AE38" s="106"/>
    </row>
    <row r="39" spans="1:31" ht="43.5" customHeight="1">
      <c r="D39" s="248" t="s">
        <v>62</v>
      </c>
      <c r="E39" s="248"/>
      <c r="F39" s="248"/>
      <c r="G39" s="26">
        <v>8</v>
      </c>
      <c r="AE39" s="106"/>
    </row>
    <row r="40" spans="1:31">
      <c r="J40" s="109"/>
      <c r="AE40" s="106"/>
    </row>
  </sheetData>
  <mergeCells count="9">
    <mergeCell ref="A1:AC1"/>
    <mergeCell ref="A2:AC2"/>
    <mergeCell ref="A3:AC3"/>
    <mergeCell ref="AD3:AE3"/>
    <mergeCell ref="A27:I27"/>
    <mergeCell ref="D39:F39"/>
    <mergeCell ref="A32:A33"/>
    <mergeCell ref="M32:Y34"/>
    <mergeCell ref="M35:Y3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6EA9-CFE6-4818-AA2D-5EBC2BD24EE9}">
  <dimension ref="A1:AH41"/>
  <sheetViews>
    <sheetView workbookViewId="0">
      <pane xSplit="1" topLeftCell="AE1" activePane="topRight" state="frozen"/>
      <selection pane="topRight" activeCell="A13" sqref="A13"/>
    </sheetView>
  </sheetViews>
  <sheetFormatPr defaultRowHeight="13.5"/>
  <cols>
    <col min="1" max="1" width="48.7109375" style="26" customWidth="1"/>
    <col min="2" max="2" width="12.140625" style="26" bestFit="1" customWidth="1"/>
    <col min="3" max="3" width="17.5703125" style="26" customWidth="1"/>
    <col min="4" max="4" width="15.7109375" style="26" customWidth="1"/>
    <col min="5" max="5" width="11" style="26" customWidth="1"/>
    <col min="6" max="6" width="13.28515625" style="26" customWidth="1"/>
    <col min="7" max="7" width="12.28515625" style="26" customWidth="1"/>
    <col min="8" max="8" width="12.7109375" style="26" customWidth="1"/>
    <col min="9" max="9" width="12.28515625" style="26" customWidth="1"/>
    <col min="10" max="10" width="26.28515625" style="26" bestFit="1" customWidth="1"/>
    <col min="11" max="11" width="15.28515625" style="26" customWidth="1"/>
    <col min="12" max="12" width="9.140625" style="26"/>
    <col min="13" max="13" width="12.42578125" style="26" customWidth="1"/>
    <col min="14" max="16" width="9.140625" style="26"/>
    <col min="17" max="17" width="12.140625" style="26" customWidth="1"/>
    <col min="18" max="24" width="9.140625" style="26"/>
    <col min="25" max="25" width="10.85546875" style="26" customWidth="1"/>
    <col min="26" max="26" width="13.5703125" style="26" bestFit="1" customWidth="1"/>
    <col min="27" max="27" width="16.5703125" style="26" customWidth="1"/>
    <col min="28" max="28" width="14.85546875" style="26" customWidth="1"/>
    <col min="29" max="29" width="14.42578125" style="26" customWidth="1"/>
    <col min="30" max="30" width="18.28515625" style="26" customWidth="1"/>
    <col min="31" max="31" width="15.28515625" style="26" customWidth="1"/>
    <col min="32" max="16384" width="9.140625" style="26"/>
  </cols>
  <sheetData>
    <row r="1" spans="1:34" ht="2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"/>
    </row>
    <row r="2" spans="1:34" ht="21">
      <c r="A2" s="252" t="s">
        <v>63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7"/>
    </row>
    <row r="3" spans="1:34" ht="21">
      <c r="A3" s="251" t="s">
        <v>2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46" t="s">
        <v>3</v>
      </c>
      <c r="AE3" s="246"/>
    </row>
    <row r="4" spans="1:34" ht="38.25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4" t="s">
        <v>64</v>
      </c>
      <c r="K4" s="3" t="s">
        <v>65</v>
      </c>
      <c r="L4" s="5" t="s">
        <v>15</v>
      </c>
      <c r="M4" s="6">
        <v>0.25</v>
      </c>
      <c r="N4" s="7" t="s">
        <v>16</v>
      </c>
      <c r="O4" s="8">
        <v>0.75</v>
      </c>
      <c r="P4" s="9" t="s">
        <v>17</v>
      </c>
      <c r="Q4" s="9">
        <v>0.8</v>
      </c>
      <c r="R4" s="10" t="s">
        <v>18</v>
      </c>
      <c r="S4" s="11">
        <v>1</v>
      </c>
      <c r="T4" s="12" t="s">
        <v>19</v>
      </c>
      <c r="U4" s="12">
        <v>1.1000000000000001</v>
      </c>
      <c r="V4" s="5" t="s">
        <v>20</v>
      </c>
      <c r="W4" s="6">
        <v>1.5</v>
      </c>
      <c r="X4" s="4" t="s">
        <v>21</v>
      </c>
      <c r="Y4" s="9">
        <v>0.35</v>
      </c>
      <c r="Z4" s="13" t="s">
        <v>22</v>
      </c>
      <c r="AA4" s="3" t="s">
        <v>23</v>
      </c>
      <c r="AB4" s="14" t="s">
        <v>24</v>
      </c>
      <c r="AC4" s="158" t="s">
        <v>25</v>
      </c>
      <c r="AD4" s="14" t="s">
        <v>26</v>
      </c>
      <c r="AE4" s="15" t="s">
        <v>27</v>
      </c>
    </row>
    <row r="5" spans="1:34">
      <c r="A5" s="17" t="s">
        <v>28</v>
      </c>
      <c r="B5" s="28">
        <v>94558569</v>
      </c>
      <c r="C5" s="29" t="s">
        <v>29</v>
      </c>
      <c r="D5" s="130"/>
      <c r="E5" s="30">
        <f>F5/8</f>
        <v>13837.5</v>
      </c>
      <c r="F5" s="31">
        <v>110700</v>
      </c>
      <c r="G5" s="32">
        <v>16</v>
      </c>
      <c r="H5" s="44">
        <f>F5*G5</f>
        <v>1771200</v>
      </c>
      <c r="I5" s="31"/>
      <c r="J5" s="33">
        <v>196000</v>
      </c>
      <c r="K5" s="31"/>
      <c r="L5" s="34">
        <v>5</v>
      </c>
      <c r="M5" s="35">
        <f>(E5*L5)</f>
        <v>69187.5</v>
      </c>
      <c r="N5" s="36"/>
      <c r="O5" s="35">
        <f>(E5*($O$4+1)*N5)</f>
        <v>0</v>
      </c>
      <c r="P5" s="37"/>
      <c r="Q5" s="35">
        <f>(E5*($Q$4+1)*P5)</f>
        <v>0</v>
      </c>
      <c r="R5" s="38"/>
      <c r="S5" s="35">
        <f>(E5*($S$4+1)*R5)</f>
        <v>0</v>
      </c>
      <c r="T5" s="35"/>
      <c r="U5" s="35">
        <f t="shared" ref="U5:U25" si="0">(E5*($U$4+1)*T5)</f>
        <v>0</v>
      </c>
      <c r="V5" s="38"/>
      <c r="W5" s="31">
        <f>(E5*($W$4+1)*V5)</f>
        <v>0</v>
      </c>
      <c r="X5" s="38"/>
      <c r="Y5" s="31">
        <f>(E5*($Y$4+1)*X5)</f>
        <v>0</v>
      </c>
      <c r="Z5" s="31">
        <f>H5+I5+J5+M5+O5+S5+U5+W5+Y5-K5+Q5</f>
        <v>2036387.5</v>
      </c>
      <c r="AA5" s="39"/>
      <c r="AB5" s="40"/>
      <c r="AC5" s="162">
        <f>Z5+AA5-AB5</f>
        <v>2036387.5</v>
      </c>
      <c r="AD5" s="41">
        <v>0</v>
      </c>
      <c r="AE5" s="47"/>
    </row>
    <row r="6" spans="1:34">
      <c r="A6" s="17" t="s">
        <v>30</v>
      </c>
      <c r="B6" s="28">
        <v>6163973</v>
      </c>
      <c r="C6" s="42">
        <v>142184027</v>
      </c>
      <c r="D6" s="137"/>
      <c r="E6" s="30">
        <f>F6/8</f>
        <v>13837.5</v>
      </c>
      <c r="F6" s="31">
        <v>110700</v>
      </c>
      <c r="G6" s="43">
        <v>14</v>
      </c>
      <c r="H6" s="44">
        <f>G6*F6</f>
        <v>1549800</v>
      </c>
      <c r="I6" s="31"/>
      <c r="J6" s="33">
        <v>190000</v>
      </c>
      <c r="K6" s="31"/>
      <c r="L6" s="38">
        <v>1.5</v>
      </c>
      <c r="M6" s="35">
        <f>(E6*L6)</f>
        <v>20756.25</v>
      </c>
      <c r="N6" s="38"/>
      <c r="O6" s="35">
        <f>(E6*($O$4+1)*N6)</f>
        <v>0</v>
      </c>
      <c r="P6" s="37"/>
      <c r="Q6" s="35">
        <f t="shared" ref="Q6:Q15" si="1">(E6*($Q$4+1)*P6)</f>
        <v>0</v>
      </c>
      <c r="R6" s="38"/>
      <c r="S6" s="35">
        <f t="shared" ref="S6:S25" si="2">(E6*($S$4+1)*R6)</f>
        <v>0</v>
      </c>
      <c r="T6" s="35"/>
      <c r="U6" s="35">
        <f t="shared" si="0"/>
        <v>0</v>
      </c>
      <c r="V6" s="38"/>
      <c r="W6" s="31">
        <f>(E6*($W$4+1)*V6)</f>
        <v>0</v>
      </c>
      <c r="X6" s="19"/>
      <c r="Y6" s="31">
        <f>(E6*($Y$4+1)*X6)</f>
        <v>0</v>
      </c>
      <c r="Z6" s="31">
        <f t="shared" ref="Z6:Z25" si="3">H6+I6+J6+M6+O6+S6+U6+W6+Y6-K6+Q6</f>
        <v>1760556.25</v>
      </c>
      <c r="AA6" s="57">
        <v>48000</v>
      </c>
      <c r="AB6" s="46"/>
      <c r="AC6" s="162">
        <f>Z6+AA6-AB6</f>
        <v>1808556.25</v>
      </c>
      <c r="AD6" s="41">
        <v>0</v>
      </c>
      <c r="AE6" s="47"/>
    </row>
    <row r="7" spans="1:34">
      <c r="A7" s="113" t="s">
        <v>31</v>
      </c>
      <c r="B7" s="28">
        <v>1006011966</v>
      </c>
      <c r="C7" s="48">
        <v>164461378</v>
      </c>
      <c r="D7" s="137">
        <f>B29+80000</f>
        <v>1830905</v>
      </c>
      <c r="E7" s="30">
        <f>F7/7.333</f>
        <v>8322.6737578980865</v>
      </c>
      <c r="F7" s="31">
        <f>D7/30</f>
        <v>61030.166666666664</v>
      </c>
      <c r="G7" s="43">
        <v>14</v>
      </c>
      <c r="H7" s="44">
        <f>G7*F7</f>
        <v>854422.33333333326</v>
      </c>
      <c r="I7" s="49">
        <f>(249095/30)*G7</f>
        <v>116244.33333333333</v>
      </c>
      <c r="J7" s="50">
        <v>0</v>
      </c>
      <c r="K7" s="51">
        <f>((($B$29/2)*8%)/15)*G7</f>
        <v>65367.119999999995</v>
      </c>
      <c r="L7" s="38"/>
      <c r="M7" s="165">
        <f>(E7*($M$4+1)*L7)</f>
        <v>0</v>
      </c>
      <c r="N7" s="19"/>
      <c r="O7" s="35">
        <f>(E7*($O$4)*N7)</f>
        <v>0</v>
      </c>
      <c r="P7" s="52"/>
      <c r="Q7" s="35">
        <f t="shared" si="1"/>
        <v>0</v>
      </c>
      <c r="R7" s="38"/>
      <c r="S7" s="35">
        <f>(E7*($S$4)*R7)</f>
        <v>0</v>
      </c>
      <c r="T7" s="35"/>
      <c r="U7" s="35">
        <f>(E7*($U$4)*T7)</f>
        <v>0</v>
      </c>
      <c r="V7" s="38"/>
      <c r="W7" s="31">
        <f>(E7*($W$4)*V7)</f>
        <v>0</v>
      </c>
      <c r="X7" s="19"/>
      <c r="Y7" s="31">
        <f>(E7*($Y$4)*X7)</f>
        <v>0</v>
      </c>
      <c r="Z7" s="31">
        <f>H7+I7+J7+M7+O7+S7+U7+W7+Y7-K7+Q7</f>
        <v>905299.54666666663</v>
      </c>
      <c r="AA7" s="160">
        <v>158500</v>
      </c>
      <c r="AB7" s="45"/>
      <c r="AC7" s="162">
        <f>Z7+AA7-AB7</f>
        <v>1063799.5466666666</v>
      </c>
      <c r="AD7" s="41">
        <v>0</v>
      </c>
      <c r="AE7" s="47"/>
    </row>
    <row r="8" spans="1:34">
      <c r="A8" s="113" t="s">
        <v>32</v>
      </c>
      <c r="B8" s="54">
        <v>1006172144</v>
      </c>
      <c r="C8" s="66">
        <v>445515752</v>
      </c>
      <c r="D8" s="138">
        <f>(1800000*10%)+1800000</f>
        <v>1980000</v>
      </c>
      <c r="E8" s="30">
        <f t="shared" ref="E8:E25" si="4">F8/7.333</f>
        <v>9000.4091095049771</v>
      </c>
      <c r="F8" s="31">
        <f>D8/30</f>
        <v>66000</v>
      </c>
      <c r="G8" s="43">
        <v>15</v>
      </c>
      <c r="H8" s="44">
        <f>G8*F8</f>
        <v>990000</v>
      </c>
      <c r="I8" s="49">
        <f t="shared" ref="I8:I25" si="5">(249095/30)*G8</f>
        <v>124547.49999999999</v>
      </c>
      <c r="J8" s="33">
        <v>211400</v>
      </c>
      <c r="K8" s="51">
        <f>((($B$29/2)*8%)/15)*G8</f>
        <v>70036.2</v>
      </c>
      <c r="L8" s="38">
        <v>3.5</v>
      </c>
      <c r="M8" s="173">
        <f t="shared" ref="M8:M9" si="6">(E8*($M$4+1)*L8)</f>
        <v>39376.78985408428</v>
      </c>
      <c r="N8" s="18"/>
      <c r="O8" s="35">
        <f t="shared" ref="O8:O26" si="7">(E8*($O$4)*N8)</f>
        <v>0</v>
      </c>
      <c r="P8" s="52"/>
      <c r="Q8" s="35">
        <f t="shared" si="1"/>
        <v>0</v>
      </c>
      <c r="R8" s="56"/>
      <c r="S8" s="35">
        <f t="shared" ref="S8:S25" si="8">(E8*($S$4)*R8)</f>
        <v>0</v>
      </c>
      <c r="T8" s="35"/>
      <c r="U8" s="35">
        <f t="shared" ref="U8:U25" si="9">(E8*($U$4)*T8)</f>
        <v>0</v>
      </c>
      <c r="V8" s="38"/>
      <c r="W8" s="31">
        <f>(E8*($W$4)*V8)</f>
        <v>0</v>
      </c>
      <c r="X8" s="19"/>
      <c r="Y8" s="31">
        <f>(E8*($Y$4)*X8)</f>
        <v>0</v>
      </c>
      <c r="Z8" s="31">
        <f>H8+I8+J8+M8+O8+S8+U8+W8+Y8-K8+Q8</f>
        <v>1295288.0898540844</v>
      </c>
      <c r="AA8" s="57"/>
      <c r="AB8" s="57"/>
      <c r="AC8" s="162">
        <f>Z8+AA8-AB8</f>
        <v>1295288.0898540844</v>
      </c>
      <c r="AD8" s="41">
        <v>0</v>
      </c>
      <c r="AE8" s="58"/>
    </row>
    <row r="9" spans="1:34">
      <c r="A9" s="115" t="s">
        <v>33</v>
      </c>
      <c r="B9" s="128">
        <v>1111538848</v>
      </c>
      <c r="C9" s="127">
        <v>487430761</v>
      </c>
      <c r="D9" s="139">
        <f>B29</f>
        <v>1750905</v>
      </c>
      <c r="E9" s="30">
        <f t="shared" si="4"/>
        <v>7959.0208645847533</v>
      </c>
      <c r="F9" s="31">
        <f t="shared" ref="F9:F26" si="10">D9/30</f>
        <v>58363.5</v>
      </c>
      <c r="G9" s="61">
        <v>15</v>
      </c>
      <c r="H9" s="44">
        <f>G9*F9</f>
        <v>875452.5</v>
      </c>
      <c r="I9" s="49">
        <f t="shared" si="5"/>
        <v>124547.49999999999</v>
      </c>
      <c r="J9" s="175">
        <v>29900</v>
      </c>
      <c r="K9" s="51">
        <f>((($B$29/2)*8%)/15)*G9</f>
        <v>70036.2</v>
      </c>
      <c r="L9" s="38">
        <v>5.5</v>
      </c>
      <c r="M9" s="173">
        <f t="shared" si="6"/>
        <v>54718.268444020185</v>
      </c>
      <c r="N9" s="19"/>
      <c r="O9" s="35">
        <f t="shared" si="7"/>
        <v>0</v>
      </c>
      <c r="P9" s="52"/>
      <c r="Q9" s="35">
        <f>((E9*Q4)+E9)*P9</f>
        <v>0</v>
      </c>
      <c r="R9" s="56"/>
      <c r="S9" s="35">
        <f t="shared" si="8"/>
        <v>0</v>
      </c>
      <c r="T9" s="35"/>
      <c r="U9" s="35">
        <f t="shared" si="9"/>
        <v>0</v>
      </c>
      <c r="V9" s="38"/>
      <c r="W9" s="31">
        <f>(E9*($W$4)*V9)</f>
        <v>0</v>
      </c>
      <c r="X9" s="19"/>
      <c r="Y9" s="31">
        <f>(E9*($Y$4)*X9)</f>
        <v>0</v>
      </c>
      <c r="Z9" s="31">
        <f>H9+I9+J9+M9+O9+S9+U9+W9+Y9-K9+Q9</f>
        <v>1014582.0684440203</v>
      </c>
      <c r="AA9" s="63">
        <v>14000</v>
      </c>
      <c r="AB9" s="64"/>
      <c r="AC9" s="162">
        <f>Z9+AA9-AB9</f>
        <v>1028582.0684440203</v>
      </c>
      <c r="AD9" s="41">
        <v>0</v>
      </c>
      <c r="AE9" s="65"/>
    </row>
    <row r="10" spans="1:34">
      <c r="A10" s="118" t="s">
        <v>34</v>
      </c>
      <c r="B10" s="54">
        <v>94493221</v>
      </c>
      <c r="C10" s="129">
        <v>166203299</v>
      </c>
      <c r="D10" s="140">
        <v>3000000</v>
      </c>
      <c r="E10" s="30">
        <f t="shared" si="4"/>
        <v>13636.983499249965</v>
      </c>
      <c r="F10" s="31">
        <f t="shared" si="10"/>
        <v>100000</v>
      </c>
      <c r="G10" s="61">
        <v>15</v>
      </c>
      <c r="H10" s="44">
        <f>G10*F10</f>
        <v>1500000</v>
      </c>
      <c r="I10" s="49">
        <f t="shared" si="5"/>
        <v>124547.49999999999</v>
      </c>
      <c r="J10" s="62"/>
      <c r="K10" s="51">
        <f t="shared" ref="K9:K16" si="11">((($B$29/2)*8%)/15)*G10</f>
        <v>70036.2</v>
      </c>
      <c r="L10" s="67"/>
      <c r="M10" s="165">
        <f t="shared" ref="M10:M25" si="12">(E10*($M$4+1)*L10)</f>
        <v>0</v>
      </c>
      <c r="N10" s="69"/>
      <c r="O10" s="35">
        <f t="shared" si="7"/>
        <v>0</v>
      </c>
      <c r="P10" s="70"/>
      <c r="Q10" s="35">
        <f>(E10*($Q$4+1)*P10)</f>
        <v>0</v>
      </c>
      <c r="R10" s="71"/>
      <c r="S10" s="35">
        <f t="shared" si="8"/>
        <v>0</v>
      </c>
      <c r="T10" s="68"/>
      <c r="U10" s="35">
        <f t="shared" si="9"/>
        <v>0</v>
      </c>
      <c r="V10" s="67"/>
      <c r="W10" s="62">
        <f>(E10*($W$4+1)*V10)</f>
        <v>0</v>
      </c>
      <c r="X10" s="69"/>
      <c r="Y10" s="72">
        <f>(E10*($Y$4+1)*X10)</f>
        <v>0</v>
      </c>
      <c r="Z10" s="31">
        <f>H10+I10+J10+M10+O10+S10+U10+W10+Y10-K10+Q10</f>
        <v>1554511.3</v>
      </c>
      <c r="AA10" s="73"/>
      <c r="AB10" s="64"/>
      <c r="AC10" s="163">
        <f>Z10+AA10-AB10</f>
        <v>1554511.3</v>
      </c>
      <c r="AD10" s="41">
        <v>0</v>
      </c>
      <c r="AE10" s="74"/>
    </row>
    <row r="11" spans="1:34">
      <c r="A11" s="113" t="s">
        <v>35</v>
      </c>
      <c r="B11" s="59">
        <v>1111797488</v>
      </c>
      <c r="C11" s="55">
        <v>487416612</v>
      </c>
      <c r="D11" s="141">
        <f>B29+50000</f>
        <v>1800905</v>
      </c>
      <c r="E11" s="30">
        <f t="shared" si="4"/>
        <v>8186.3039229055858</v>
      </c>
      <c r="F11" s="31">
        <f t="shared" si="10"/>
        <v>60030.166666666664</v>
      </c>
      <c r="G11" s="43">
        <v>15</v>
      </c>
      <c r="H11" s="44">
        <f>G11*F11</f>
        <v>900452.5</v>
      </c>
      <c r="I11" s="49">
        <f t="shared" si="5"/>
        <v>124547.49999999999</v>
      </c>
      <c r="J11" s="33">
        <v>1750</v>
      </c>
      <c r="K11" s="51">
        <f t="shared" si="11"/>
        <v>70036.2</v>
      </c>
      <c r="L11" s="38">
        <v>5</v>
      </c>
      <c r="M11" s="165">
        <f t="shared" si="12"/>
        <v>51164.399518159909</v>
      </c>
      <c r="N11" s="19"/>
      <c r="O11" s="35">
        <f t="shared" si="7"/>
        <v>0</v>
      </c>
      <c r="P11" s="52">
        <v>8</v>
      </c>
      <c r="Q11" s="35">
        <f t="shared" si="1"/>
        <v>117882.77648984044</v>
      </c>
      <c r="R11" s="38"/>
      <c r="S11" s="35">
        <f t="shared" si="8"/>
        <v>0</v>
      </c>
      <c r="T11" s="35"/>
      <c r="U11" s="35">
        <f t="shared" si="9"/>
        <v>0</v>
      </c>
      <c r="V11" s="38"/>
      <c r="W11" s="31">
        <f>(E11*($W$4)*V11)</f>
        <v>0</v>
      </c>
      <c r="X11" s="19"/>
      <c r="Y11" s="31">
        <f>(E11*($Y$4)*X11)</f>
        <v>0</v>
      </c>
      <c r="Z11" s="60">
        <f>H11+I11+J11+M11+O11+S11+U11+W11+Y11-K11+Q11</f>
        <v>1125760.9760080003</v>
      </c>
      <c r="AA11" s="57">
        <v>100000</v>
      </c>
      <c r="AB11" s="75">
        <v>100000</v>
      </c>
      <c r="AC11" s="163">
        <f>Z11+AA11-AB11</f>
        <v>1125760.9760080003</v>
      </c>
      <c r="AD11" s="41">
        <v>100000</v>
      </c>
      <c r="AE11" s="58"/>
      <c r="AH11" s="76"/>
    </row>
    <row r="12" spans="1:34">
      <c r="A12" s="113" t="s">
        <v>36</v>
      </c>
      <c r="B12" s="77" t="s">
        <v>37</v>
      </c>
      <c r="C12" s="69">
        <v>256524836</v>
      </c>
      <c r="D12" s="142">
        <f>B29+50000</f>
        <v>1800905</v>
      </c>
      <c r="E12" s="30">
        <f t="shared" si="4"/>
        <v>8186.3039229055858</v>
      </c>
      <c r="F12" s="31">
        <f t="shared" si="10"/>
        <v>60030.166666666664</v>
      </c>
      <c r="G12" s="43">
        <v>13</v>
      </c>
      <c r="H12" s="44">
        <f>F12*G12</f>
        <v>780392.16666666663</v>
      </c>
      <c r="I12" s="49">
        <f t="shared" si="5"/>
        <v>107941.16666666666</v>
      </c>
      <c r="J12" s="50">
        <v>200</v>
      </c>
      <c r="K12" s="51">
        <f t="shared" si="11"/>
        <v>60698.04</v>
      </c>
      <c r="L12" s="38">
        <v>8</v>
      </c>
      <c r="M12" s="165">
        <f t="shared" si="12"/>
        <v>81863.039229055852</v>
      </c>
      <c r="N12" s="19"/>
      <c r="O12" s="35">
        <f t="shared" si="7"/>
        <v>0</v>
      </c>
      <c r="P12" s="52">
        <v>8</v>
      </c>
      <c r="Q12" s="35">
        <f t="shared" si="1"/>
        <v>117882.77648984044</v>
      </c>
      <c r="R12" s="38"/>
      <c r="S12" s="35">
        <f t="shared" si="8"/>
        <v>0</v>
      </c>
      <c r="T12" s="35"/>
      <c r="U12" s="35">
        <f t="shared" si="9"/>
        <v>0</v>
      </c>
      <c r="V12" s="38"/>
      <c r="W12" s="31">
        <f>(E12*($W$4+1)*V12)</f>
        <v>0</v>
      </c>
      <c r="X12" s="19"/>
      <c r="Y12" s="31">
        <f>(E12*($Y$4+1)*X12)</f>
        <v>0</v>
      </c>
      <c r="Z12" s="31">
        <f t="shared" si="3"/>
        <v>1027581.1090522296</v>
      </c>
      <c r="AA12" s="57">
        <f>90000+34000</f>
        <v>124000</v>
      </c>
      <c r="AB12" s="78">
        <v>160000</v>
      </c>
      <c r="AC12" s="253">
        <f>Z12+Z13+AA12-AB12</f>
        <v>1115576.282385563</v>
      </c>
      <c r="AD12" s="41">
        <f>100000+60000</f>
        <v>160000</v>
      </c>
      <c r="AE12" s="58"/>
    </row>
    <row r="13" spans="1:34">
      <c r="A13" s="174" t="s">
        <v>66</v>
      </c>
      <c r="B13" s="77" t="s">
        <v>37</v>
      </c>
      <c r="C13" s="69">
        <v>256524836</v>
      </c>
      <c r="D13" s="143">
        <v>1750905</v>
      </c>
      <c r="E13" s="30">
        <v>7959.0208645847497</v>
      </c>
      <c r="F13" s="31">
        <v>58363.5</v>
      </c>
      <c r="G13" s="43">
        <v>2</v>
      </c>
      <c r="H13" s="157">
        <f>G13*F13</f>
        <v>116727</v>
      </c>
      <c r="I13" s="49">
        <f t="shared" ref="I13" si="13">(249095/30)*G13</f>
        <v>16606.333333333332</v>
      </c>
      <c r="J13" s="167"/>
      <c r="K13" s="51">
        <f t="shared" ref="K13" si="14">((($B$29/2)*8%)/15)*G13</f>
        <v>9338.16</v>
      </c>
      <c r="L13" s="38"/>
      <c r="M13" s="165">
        <f t="shared" ref="M13" si="15">(E13*($M$4+1)*L13)</f>
        <v>0</v>
      </c>
      <c r="N13" s="19"/>
      <c r="O13" s="35">
        <f t="shared" ref="O13" si="16">(E13*($O$4)*N13)</f>
        <v>0</v>
      </c>
      <c r="P13" s="81"/>
      <c r="Q13" s="35">
        <f t="shared" ref="Q13" si="17">(E13*($Q$4+1)*P13)</f>
        <v>0</v>
      </c>
      <c r="R13" s="82"/>
      <c r="S13" s="35">
        <f t="shared" ref="S13" si="18">(E13*($S$4)*R13)</f>
        <v>0</v>
      </c>
      <c r="T13" s="35"/>
      <c r="U13" s="35">
        <f t="shared" ref="U13" si="19">(E13*($U$4)*T13)</f>
        <v>0</v>
      </c>
      <c r="V13" s="38"/>
      <c r="W13" s="31">
        <f t="shared" ref="W13" si="20">(E13*($W$4)*V13)</f>
        <v>0</v>
      </c>
      <c r="X13" s="19"/>
      <c r="Y13" s="31">
        <f t="shared" ref="Y13" si="21">(E13*($Y$4)*X13)</f>
        <v>0</v>
      </c>
      <c r="Z13" s="31">
        <f t="shared" ref="Z13" si="22">H13+I13+J13+M13+O13+S13+U13+W13+Y13-K13+Q13</f>
        <v>123995.17333333334</v>
      </c>
      <c r="AA13" s="57"/>
      <c r="AB13" s="45"/>
      <c r="AC13" s="254"/>
      <c r="AD13" s="41"/>
      <c r="AE13" s="83">
        <v>0</v>
      </c>
    </row>
    <row r="14" spans="1:34">
      <c r="A14" s="116" t="s">
        <v>38</v>
      </c>
      <c r="B14" s="28">
        <v>1007838659</v>
      </c>
      <c r="C14" s="79">
        <v>487432619</v>
      </c>
      <c r="D14" s="143">
        <f>B29</f>
        <v>1750905</v>
      </c>
      <c r="E14" s="30">
        <f t="shared" si="4"/>
        <v>7959.0208645847533</v>
      </c>
      <c r="F14" s="31">
        <f>D14/30</f>
        <v>58363.5</v>
      </c>
      <c r="G14" s="43">
        <v>15</v>
      </c>
      <c r="H14" s="157">
        <f>G14*F14</f>
        <v>875452.5</v>
      </c>
      <c r="I14" s="49">
        <f t="shared" si="5"/>
        <v>124547.49999999999</v>
      </c>
      <c r="J14" s="167">
        <v>199200</v>
      </c>
      <c r="K14" s="51">
        <f t="shared" si="11"/>
        <v>70036.2</v>
      </c>
      <c r="L14" s="38">
        <v>3.5</v>
      </c>
      <c r="M14" s="165">
        <f t="shared" si="12"/>
        <v>34820.7162825583</v>
      </c>
      <c r="N14" s="19"/>
      <c r="O14" s="35">
        <f t="shared" si="7"/>
        <v>0</v>
      </c>
      <c r="P14" s="81"/>
      <c r="Q14" s="35">
        <f t="shared" si="1"/>
        <v>0</v>
      </c>
      <c r="R14" s="82"/>
      <c r="S14" s="35">
        <f t="shared" si="8"/>
        <v>0</v>
      </c>
      <c r="T14" s="35"/>
      <c r="U14" s="35">
        <f t="shared" si="9"/>
        <v>0</v>
      </c>
      <c r="V14" s="38"/>
      <c r="W14" s="31">
        <f t="shared" ref="W14:W25" si="23">(E14*($W$4)*V14)</f>
        <v>0</v>
      </c>
      <c r="X14" s="19"/>
      <c r="Y14" s="31">
        <f t="shared" ref="Y14:Y25" si="24">(E14*($Y$4)*X14)</f>
        <v>0</v>
      </c>
      <c r="Z14" s="31">
        <f t="shared" si="3"/>
        <v>1163984.5162825584</v>
      </c>
      <c r="AA14" s="57">
        <v>107000</v>
      </c>
      <c r="AB14" s="45">
        <v>100000</v>
      </c>
      <c r="AC14" s="164">
        <f>Z14+AA14-AB14</f>
        <v>1170984.5162825584</v>
      </c>
      <c r="AD14" s="41">
        <v>100000</v>
      </c>
      <c r="AE14" s="83">
        <v>0</v>
      </c>
    </row>
    <row r="15" spans="1:34">
      <c r="A15" s="114" t="s">
        <v>39</v>
      </c>
      <c r="B15" s="28">
        <v>1006202963</v>
      </c>
      <c r="C15" s="84" t="s">
        <v>40</v>
      </c>
      <c r="D15" s="143">
        <f>B29+50000</f>
        <v>1800905</v>
      </c>
      <c r="E15" s="30">
        <f t="shared" si="4"/>
        <v>8186.3039229055858</v>
      </c>
      <c r="F15" s="31">
        <f t="shared" si="10"/>
        <v>60030.166666666664</v>
      </c>
      <c r="G15" s="85">
        <v>15</v>
      </c>
      <c r="H15" s="157">
        <f>G15*F15</f>
        <v>900452.5</v>
      </c>
      <c r="I15" s="49">
        <f t="shared" si="5"/>
        <v>124547.49999999999</v>
      </c>
      <c r="J15" s="33">
        <v>184500</v>
      </c>
      <c r="K15" s="166">
        <f t="shared" si="11"/>
        <v>70036.2</v>
      </c>
      <c r="L15" s="87">
        <v>13</v>
      </c>
      <c r="M15" s="165">
        <f t="shared" si="12"/>
        <v>133027.43874721575</v>
      </c>
      <c r="N15" s="89"/>
      <c r="O15" s="35">
        <f t="shared" si="7"/>
        <v>0</v>
      </c>
      <c r="P15" s="52">
        <v>8</v>
      </c>
      <c r="Q15" s="35">
        <f>(E15*($Q$4+1)*P15)</f>
        <v>117882.77648984044</v>
      </c>
      <c r="R15" s="90"/>
      <c r="S15" s="35">
        <f t="shared" si="8"/>
        <v>0</v>
      </c>
      <c r="T15" s="88"/>
      <c r="U15" s="35">
        <f t="shared" si="9"/>
        <v>0</v>
      </c>
      <c r="V15" s="87"/>
      <c r="W15" s="60">
        <f t="shared" si="23"/>
        <v>0</v>
      </c>
      <c r="X15" s="89"/>
      <c r="Y15" s="60">
        <f t="shared" si="24"/>
        <v>0</v>
      </c>
      <c r="Z15" s="31">
        <f t="shared" si="3"/>
        <v>1390374.0152370562</v>
      </c>
      <c r="AA15" s="78"/>
      <c r="AB15" s="45">
        <f>61600+90000</f>
        <v>151600</v>
      </c>
      <c r="AC15" s="162">
        <f>Z15+AA15-AB15</f>
        <v>1238774.0152370562</v>
      </c>
      <c r="AD15" s="133">
        <v>380800</v>
      </c>
      <c r="AE15" s="134">
        <f>AD15-61600</f>
        <v>319200</v>
      </c>
    </row>
    <row r="16" spans="1:34" s="147" customFormat="1">
      <c r="A16" s="146"/>
      <c r="B16" s="28"/>
      <c r="C16" s="79"/>
      <c r="D16" s="143"/>
      <c r="E16" s="30">
        <f t="shared" si="4"/>
        <v>0</v>
      </c>
      <c r="F16" s="31"/>
      <c r="G16" s="85"/>
      <c r="H16" s="155">
        <f>SUM(H5:H15)-H10</f>
        <v>9614351.4999999981</v>
      </c>
      <c r="I16" s="156"/>
      <c r="J16" s="94"/>
      <c r="K16" s="51"/>
      <c r="L16" s="87"/>
      <c r="M16" s="165">
        <f t="shared" si="12"/>
        <v>0</v>
      </c>
      <c r="N16" s="89"/>
      <c r="O16" s="35">
        <f t="shared" si="7"/>
        <v>0</v>
      </c>
      <c r="P16" s="37"/>
      <c r="Q16" s="101">
        <f>SUM(Q5:Q15)</f>
        <v>353648.3294695213</v>
      </c>
      <c r="R16" s="90"/>
      <c r="S16" s="35">
        <f t="shared" si="8"/>
        <v>0</v>
      </c>
      <c r="T16" s="88"/>
      <c r="U16" s="35">
        <f t="shared" si="9"/>
        <v>0</v>
      </c>
      <c r="V16" s="87"/>
      <c r="W16" s="60"/>
      <c r="X16" s="89"/>
      <c r="Y16" s="60"/>
      <c r="Z16" s="31"/>
      <c r="AA16" s="91"/>
      <c r="AB16" s="45"/>
      <c r="AC16" s="176">
        <f>SUM(AC5:AC15)-AC10</f>
        <v>11883709.244877947</v>
      </c>
      <c r="AD16" s="133"/>
      <c r="AE16" s="134"/>
    </row>
    <row r="17" spans="1:33" s="147" customFormat="1">
      <c r="A17" s="146"/>
      <c r="B17" s="28"/>
      <c r="C17" s="79"/>
      <c r="D17" s="143"/>
      <c r="E17" s="30">
        <f t="shared" si="4"/>
        <v>0</v>
      </c>
      <c r="F17" s="31"/>
      <c r="G17" s="85"/>
      <c r="H17" s="151"/>
      <c r="I17" s="49"/>
      <c r="J17" s="94"/>
      <c r="K17" s="51"/>
      <c r="L17" s="87"/>
      <c r="M17" s="165">
        <f t="shared" si="12"/>
        <v>0</v>
      </c>
      <c r="N17" s="89"/>
      <c r="O17" s="35">
        <f t="shared" si="7"/>
        <v>0</v>
      </c>
      <c r="P17" s="37"/>
      <c r="Q17" s="35">
        <f t="shared" ref="Q17" si="25">(E17*($Q$4)*P17)</f>
        <v>0</v>
      </c>
      <c r="R17" s="90"/>
      <c r="S17" s="35">
        <f t="shared" si="8"/>
        <v>0</v>
      </c>
      <c r="T17" s="88"/>
      <c r="U17" s="35">
        <f t="shared" si="9"/>
        <v>0</v>
      </c>
      <c r="V17" s="87"/>
      <c r="W17" s="60"/>
      <c r="X17" s="89"/>
      <c r="Y17" s="60"/>
      <c r="Z17" s="31"/>
      <c r="AA17" s="91"/>
      <c r="AB17" s="45"/>
      <c r="AC17" s="53"/>
      <c r="AD17" s="133"/>
      <c r="AE17" s="134"/>
    </row>
    <row r="18" spans="1:33">
      <c r="A18" s="117" t="s">
        <v>43</v>
      </c>
      <c r="B18" s="28">
        <v>1116242414</v>
      </c>
      <c r="C18" s="79">
        <v>186736849</v>
      </c>
      <c r="D18" s="138">
        <f>(1800000*10%)+1800000</f>
        <v>1980000</v>
      </c>
      <c r="E18" s="30">
        <f t="shared" si="4"/>
        <v>9000.4091095049771</v>
      </c>
      <c r="F18" s="31">
        <f t="shared" si="10"/>
        <v>66000</v>
      </c>
      <c r="G18" s="85">
        <v>15</v>
      </c>
      <c r="H18" s="44">
        <f>G18*F18</f>
        <v>990000</v>
      </c>
      <c r="I18" s="49">
        <f t="shared" si="5"/>
        <v>124547.49999999999</v>
      </c>
      <c r="J18" s="86">
        <v>32300</v>
      </c>
      <c r="K18" s="51">
        <f t="shared" ref="K18:K25" si="26">((($B$29/2)*8%)/15)*G18</f>
        <v>70036.2</v>
      </c>
      <c r="L18" s="87">
        <v>7</v>
      </c>
      <c r="M18" s="165">
        <f t="shared" si="12"/>
        <v>78753.57970816856</v>
      </c>
      <c r="N18" s="89"/>
      <c r="O18" s="35">
        <f t="shared" si="7"/>
        <v>0</v>
      </c>
      <c r="P18" s="52">
        <v>8</v>
      </c>
      <c r="Q18" s="35">
        <f t="shared" ref="Q18:Q25" si="27">(E18*($Q$4+1)*P18)</f>
        <v>129605.89117687168</v>
      </c>
      <c r="R18" s="90"/>
      <c r="S18" s="35">
        <f t="shared" si="8"/>
        <v>0</v>
      </c>
      <c r="T18" s="88"/>
      <c r="U18" s="35">
        <f t="shared" si="9"/>
        <v>0</v>
      </c>
      <c r="V18" s="87"/>
      <c r="W18" s="60">
        <f t="shared" si="23"/>
        <v>0</v>
      </c>
      <c r="X18" s="89"/>
      <c r="Y18" s="60">
        <f t="shared" si="24"/>
        <v>0</v>
      </c>
      <c r="Z18" s="31">
        <f t="shared" si="3"/>
        <v>1285170.7708850403</v>
      </c>
      <c r="AA18" s="91"/>
      <c r="AB18" s="45"/>
      <c r="AC18" s="162">
        <f>Z18+AA18-AB18</f>
        <v>1285170.7708850403</v>
      </c>
      <c r="AD18" s="41">
        <v>0</v>
      </c>
      <c r="AE18" s="47"/>
    </row>
    <row r="19" spans="1:33">
      <c r="A19" s="117" t="s">
        <v>44</v>
      </c>
      <c r="B19" s="28">
        <v>1018502331</v>
      </c>
      <c r="C19" s="19">
        <v>484605035</v>
      </c>
      <c r="D19" s="138">
        <f>(1800000*10%)+1800000</f>
        <v>1980000</v>
      </c>
      <c r="E19" s="30">
        <f t="shared" si="4"/>
        <v>9000.4091095049771</v>
      </c>
      <c r="F19" s="31">
        <f t="shared" si="10"/>
        <v>66000</v>
      </c>
      <c r="G19" s="85">
        <v>15</v>
      </c>
      <c r="H19" s="44">
        <f>G19*F19</f>
        <v>990000</v>
      </c>
      <c r="I19" s="49">
        <f t="shared" si="5"/>
        <v>124547.49999999999</v>
      </c>
      <c r="J19" s="86">
        <v>15000</v>
      </c>
      <c r="K19" s="51">
        <f t="shared" si="26"/>
        <v>70036.2</v>
      </c>
      <c r="L19" s="87">
        <v>5</v>
      </c>
      <c r="M19" s="165">
        <f t="shared" si="12"/>
        <v>56252.556934406108</v>
      </c>
      <c r="N19" s="89"/>
      <c r="O19" s="35">
        <f t="shared" si="7"/>
        <v>0</v>
      </c>
      <c r="P19" s="52"/>
      <c r="Q19" s="35">
        <f t="shared" si="27"/>
        <v>0</v>
      </c>
      <c r="R19" s="90"/>
      <c r="S19" s="35">
        <f t="shared" si="8"/>
        <v>0</v>
      </c>
      <c r="T19" s="88"/>
      <c r="U19" s="35">
        <f t="shared" si="9"/>
        <v>0</v>
      </c>
      <c r="V19" s="87"/>
      <c r="W19" s="60">
        <f t="shared" si="23"/>
        <v>0</v>
      </c>
      <c r="X19" s="89"/>
      <c r="Y19" s="60">
        <f t="shared" si="24"/>
        <v>0</v>
      </c>
      <c r="Z19" s="31">
        <f>H19+I19+J19+M19+O19+S19+U19+W19+Y19-K19+Q19</f>
        <v>1115763.8569344061</v>
      </c>
      <c r="AA19" s="91"/>
      <c r="AB19" s="45">
        <v>200000</v>
      </c>
      <c r="AC19" s="162">
        <f>Z19+AA19-AB19</f>
        <v>915763.8569344061</v>
      </c>
      <c r="AD19" s="92">
        <v>200000</v>
      </c>
      <c r="AE19" s="58">
        <v>0</v>
      </c>
    </row>
    <row r="20" spans="1:33">
      <c r="A20" s="116" t="s">
        <v>45</v>
      </c>
      <c r="B20" s="28">
        <v>16501191</v>
      </c>
      <c r="C20" s="93" t="s">
        <v>46</v>
      </c>
      <c r="D20" s="144">
        <f>B29</f>
        <v>1750905</v>
      </c>
      <c r="E20" s="30">
        <f t="shared" si="4"/>
        <v>7959.0208645847533</v>
      </c>
      <c r="F20" s="31">
        <f t="shared" si="10"/>
        <v>58363.5</v>
      </c>
      <c r="G20" s="85">
        <v>15</v>
      </c>
      <c r="H20" s="44">
        <f t="shared" ref="H20:H25" si="28">G20*F20</f>
        <v>875452.5</v>
      </c>
      <c r="I20" s="49">
        <f t="shared" si="5"/>
        <v>124547.49999999999</v>
      </c>
      <c r="J20" s="94">
        <v>9900</v>
      </c>
      <c r="K20" s="51">
        <f t="shared" si="26"/>
        <v>70036.2</v>
      </c>
      <c r="L20" s="87">
        <v>11</v>
      </c>
      <c r="M20" s="165">
        <f t="shared" si="12"/>
        <v>109436.53688804037</v>
      </c>
      <c r="N20" s="89"/>
      <c r="O20" s="35">
        <f t="shared" si="7"/>
        <v>0</v>
      </c>
      <c r="P20" s="52"/>
      <c r="Q20" s="35">
        <f t="shared" si="27"/>
        <v>0</v>
      </c>
      <c r="R20" s="90"/>
      <c r="S20" s="35">
        <f t="shared" si="8"/>
        <v>0</v>
      </c>
      <c r="T20" s="88"/>
      <c r="U20" s="35">
        <f t="shared" si="9"/>
        <v>0</v>
      </c>
      <c r="V20" s="87"/>
      <c r="W20" s="60">
        <f t="shared" si="23"/>
        <v>0</v>
      </c>
      <c r="X20" s="89"/>
      <c r="Y20" s="60">
        <f t="shared" si="24"/>
        <v>0</v>
      </c>
      <c r="Z20" s="31">
        <f t="shared" si="3"/>
        <v>1049300.3368880404</v>
      </c>
      <c r="AA20" s="91"/>
      <c r="AB20" s="45"/>
      <c r="AC20" s="53">
        <f>Z20+AA20-AB20</f>
        <v>1049300.3368880404</v>
      </c>
      <c r="AD20" s="92">
        <v>0</v>
      </c>
      <c r="AE20" s="47"/>
    </row>
    <row r="21" spans="1:33">
      <c r="A21" s="116" t="s">
        <v>47</v>
      </c>
      <c r="B21" s="28">
        <v>16505237</v>
      </c>
      <c r="C21" s="19">
        <v>186817573</v>
      </c>
      <c r="D21" s="144">
        <f>B29</f>
        <v>1750905</v>
      </c>
      <c r="E21" s="30">
        <f t="shared" si="4"/>
        <v>7959.0208645847533</v>
      </c>
      <c r="F21" s="31">
        <f t="shared" si="10"/>
        <v>58363.5</v>
      </c>
      <c r="G21" s="85">
        <v>15</v>
      </c>
      <c r="H21" s="44">
        <f t="shared" si="28"/>
        <v>875452.5</v>
      </c>
      <c r="I21" s="49">
        <f t="shared" si="5"/>
        <v>124547.49999999999</v>
      </c>
      <c r="J21" s="86">
        <v>10150</v>
      </c>
      <c r="K21" s="51">
        <f t="shared" si="26"/>
        <v>70036.2</v>
      </c>
      <c r="L21" s="87">
        <v>11</v>
      </c>
      <c r="M21" s="165">
        <f t="shared" si="12"/>
        <v>109436.53688804037</v>
      </c>
      <c r="N21" s="89"/>
      <c r="O21" s="35">
        <f t="shared" si="7"/>
        <v>0</v>
      </c>
      <c r="P21" s="52"/>
      <c r="Q21" s="35">
        <f t="shared" si="27"/>
        <v>0</v>
      </c>
      <c r="R21" s="90"/>
      <c r="S21" s="35">
        <f t="shared" si="8"/>
        <v>0</v>
      </c>
      <c r="T21" s="88"/>
      <c r="U21" s="35">
        <f t="shared" si="9"/>
        <v>0</v>
      </c>
      <c r="V21" s="87"/>
      <c r="W21" s="60">
        <f t="shared" si="23"/>
        <v>0</v>
      </c>
      <c r="X21" s="89"/>
      <c r="Y21" s="60">
        <f t="shared" si="24"/>
        <v>0</v>
      </c>
      <c r="Z21" s="31">
        <f>H21+I21+J21+M21+O21+S21+U21+W21+Y21-K21+Q21</f>
        <v>1049550.3368880404</v>
      </c>
      <c r="AA21" s="91"/>
      <c r="AB21" s="45"/>
      <c r="AC21" s="162">
        <f>Z21+AA21-AB21</f>
        <v>1049550.3368880404</v>
      </c>
      <c r="AD21" s="92">
        <v>0</v>
      </c>
      <c r="AE21" s="47"/>
    </row>
    <row r="22" spans="1:33">
      <c r="A22" s="120" t="s">
        <v>48</v>
      </c>
      <c r="B22" s="28">
        <v>1111747391</v>
      </c>
      <c r="C22" s="19">
        <v>186817581</v>
      </c>
      <c r="D22" s="144">
        <f>(B29*C30)+B29</f>
        <v>1840201.155</v>
      </c>
      <c r="E22" s="30">
        <f t="shared" si="4"/>
        <v>8364.9309286785756</v>
      </c>
      <c r="F22" s="31">
        <f t="shared" si="10"/>
        <v>61340.038500000002</v>
      </c>
      <c r="G22" s="85">
        <v>15</v>
      </c>
      <c r="H22" s="44">
        <f>G22*F22</f>
        <v>920100.57750000001</v>
      </c>
      <c r="I22" s="49">
        <f t="shared" si="5"/>
        <v>124547.49999999999</v>
      </c>
      <c r="J22" s="86">
        <v>11600</v>
      </c>
      <c r="K22" s="51">
        <f t="shared" si="26"/>
        <v>70036.2</v>
      </c>
      <c r="L22" s="87">
        <v>4</v>
      </c>
      <c r="M22" s="165">
        <f t="shared" si="12"/>
        <v>41824.654643392874</v>
      </c>
      <c r="N22" s="89"/>
      <c r="O22" s="35">
        <f t="shared" si="7"/>
        <v>0</v>
      </c>
      <c r="P22" s="52">
        <v>8</v>
      </c>
      <c r="Q22" s="35">
        <f t="shared" si="27"/>
        <v>120455.00537297149</v>
      </c>
      <c r="R22" s="90"/>
      <c r="S22" s="35">
        <f t="shared" si="8"/>
        <v>0</v>
      </c>
      <c r="T22" s="88"/>
      <c r="U22" s="35">
        <f t="shared" si="9"/>
        <v>0</v>
      </c>
      <c r="V22" s="87"/>
      <c r="W22" s="60">
        <f t="shared" si="23"/>
        <v>0</v>
      </c>
      <c r="X22" s="89"/>
      <c r="Y22" s="60">
        <f t="shared" si="24"/>
        <v>0</v>
      </c>
      <c r="Z22" s="31">
        <f t="shared" si="3"/>
        <v>1148491.5375163646</v>
      </c>
      <c r="AA22" s="91"/>
      <c r="AB22" s="45"/>
      <c r="AC22" s="162">
        <f>Z22+AA22-AB22</f>
        <v>1148491.5375163646</v>
      </c>
      <c r="AD22" s="92">
        <v>0</v>
      </c>
      <c r="AE22" s="47"/>
    </row>
    <row r="23" spans="1:33">
      <c r="A23" s="116" t="s">
        <v>49</v>
      </c>
      <c r="B23" s="28">
        <v>1006188943</v>
      </c>
      <c r="C23" s="69">
        <v>186817607</v>
      </c>
      <c r="D23" s="142">
        <f>B29</f>
        <v>1750905</v>
      </c>
      <c r="E23" s="30">
        <f t="shared" si="4"/>
        <v>7959.0208645847533</v>
      </c>
      <c r="F23" s="31">
        <f t="shared" si="10"/>
        <v>58363.5</v>
      </c>
      <c r="G23" s="85">
        <v>15</v>
      </c>
      <c r="H23" s="44">
        <f t="shared" si="28"/>
        <v>875452.5</v>
      </c>
      <c r="I23" s="49">
        <f t="shared" si="5"/>
        <v>124547.49999999999</v>
      </c>
      <c r="J23" s="86">
        <v>9900</v>
      </c>
      <c r="K23" s="51">
        <f t="shared" si="26"/>
        <v>70036.2</v>
      </c>
      <c r="L23" s="87">
        <v>1</v>
      </c>
      <c r="M23" s="165">
        <f t="shared" si="12"/>
        <v>9948.7760807309423</v>
      </c>
      <c r="N23" s="89"/>
      <c r="O23" s="35">
        <f t="shared" si="7"/>
        <v>0</v>
      </c>
      <c r="P23" s="52">
        <v>8</v>
      </c>
      <c r="Q23" s="35">
        <f t="shared" si="27"/>
        <v>114609.90045002045</v>
      </c>
      <c r="R23" s="90"/>
      <c r="S23" s="35">
        <f t="shared" si="8"/>
        <v>0</v>
      </c>
      <c r="T23" s="88"/>
      <c r="U23" s="35">
        <f t="shared" si="9"/>
        <v>0</v>
      </c>
      <c r="V23" s="87"/>
      <c r="W23" s="60">
        <f t="shared" si="23"/>
        <v>0</v>
      </c>
      <c r="X23" s="89"/>
      <c r="Y23" s="60">
        <f t="shared" si="24"/>
        <v>0</v>
      </c>
      <c r="Z23" s="31">
        <f t="shared" si="3"/>
        <v>1064422.4765307514</v>
      </c>
      <c r="AA23" s="91"/>
      <c r="AB23" s="45"/>
      <c r="AC23" s="162">
        <f>Z23+AA23-AB23</f>
        <v>1064422.4765307514</v>
      </c>
      <c r="AD23" s="92">
        <v>0</v>
      </c>
      <c r="AE23" s="47"/>
      <c r="AG23" s="76"/>
    </row>
    <row r="24" spans="1:33">
      <c r="A24" s="116" t="s">
        <v>50</v>
      </c>
      <c r="B24" s="95">
        <v>1006203947</v>
      </c>
      <c r="C24" s="19">
        <v>186821369</v>
      </c>
      <c r="D24" s="145">
        <f>B29</f>
        <v>1750905</v>
      </c>
      <c r="E24" s="30">
        <f t="shared" si="4"/>
        <v>7959.0208645847533</v>
      </c>
      <c r="F24" s="31">
        <f t="shared" si="10"/>
        <v>58363.5</v>
      </c>
      <c r="G24" s="85">
        <v>15</v>
      </c>
      <c r="H24" s="44">
        <f t="shared" si="28"/>
        <v>875452.5</v>
      </c>
      <c r="I24" s="49">
        <f t="shared" si="5"/>
        <v>124547.49999999999</v>
      </c>
      <c r="J24" s="86">
        <v>3500</v>
      </c>
      <c r="K24" s="51">
        <f t="shared" si="26"/>
        <v>70036.2</v>
      </c>
      <c r="L24" s="87">
        <v>6</v>
      </c>
      <c r="M24" s="165">
        <f t="shared" si="12"/>
        <v>59692.656484385654</v>
      </c>
      <c r="N24" s="89"/>
      <c r="O24" s="35">
        <f t="shared" si="7"/>
        <v>0</v>
      </c>
      <c r="P24" s="52">
        <v>8</v>
      </c>
      <c r="Q24" s="35">
        <f t="shared" si="27"/>
        <v>114609.90045002045</v>
      </c>
      <c r="R24" s="90"/>
      <c r="S24" s="35">
        <f t="shared" si="8"/>
        <v>0</v>
      </c>
      <c r="T24" s="88"/>
      <c r="U24" s="35">
        <f t="shared" si="9"/>
        <v>0</v>
      </c>
      <c r="V24" s="87"/>
      <c r="W24" s="60">
        <f t="shared" si="23"/>
        <v>0</v>
      </c>
      <c r="X24" s="89"/>
      <c r="Y24" s="60">
        <f t="shared" si="24"/>
        <v>0</v>
      </c>
      <c r="Z24" s="31">
        <f t="shared" si="3"/>
        <v>1107766.3569344063</v>
      </c>
      <c r="AA24" s="91"/>
      <c r="AB24" s="45"/>
      <c r="AC24" s="162">
        <f>Z24+AA24-AB24</f>
        <v>1107766.3569344063</v>
      </c>
      <c r="AD24" s="92">
        <v>0</v>
      </c>
      <c r="AE24" s="47"/>
      <c r="AG24" s="76"/>
    </row>
    <row r="25" spans="1:33">
      <c r="A25" s="119" t="s">
        <v>51</v>
      </c>
      <c r="B25" s="95">
        <v>1111814116</v>
      </c>
      <c r="C25" s="19">
        <v>186821385</v>
      </c>
      <c r="D25" s="143">
        <f>(2000000*C30)+2000000</f>
        <v>2102000</v>
      </c>
      <c r="E25" s="30">
        <f t="shared" si="4"/>
        <v>9554.9797718078098</v>
      </c>
      <c r="F25" s="131">
        <f t="shared" si="10"/>
        <v>70066.666666666672</v>
      </c>
      <c r="G25" s="85">
        <v>15</v>
      </c>
      <c r="H25" s="157">
        <f t="shared" si="28"/>
        <v>1051000</v>
      </c>
      <c r="I25" s="171">
        <f t="shared" si="5"/>
        <v>124547.49999999999</v>
      </c>
      <c r="J25" s="172">
        <v>3600</v>
      </c>
      <c r="K25" s="51">
        <f t="shared" si="26"/>
        <v>70036.2</v>
      </c>
      <c r="L25" s="87">
        <v>4</v>
      </c>
      <c r="M25" s="165">
        <f t="shared" si="12"/>
        <v>47774.898859039051</v>
      </c>
      <c r="N25" s="89"/>
      <c r="O25" s="35">
        <f t="shared" si="7"/>
        <v>0</v>
      </c>
      <c r="P25" s="52">
        <v>8</v>
      </c>
      <c r="Q25" s="35">
        <f t="shared" si="27"/>
        <v>137591.70871403246</v>
      </c>
      <c r="R25" s="90"/>
      <c r="S25" s="35">
        <f t="shared" si="8"/>
        <v>0</v>
      </c>
      <c r="T25" s="88"/>
      <c r="U25" s="35">
        <f t="shared" si="9"/>
        <v>0</v>
      </c>
      <c r="V25" s="87"/>
      <c r="W25" s="60">
        <f t="shared" si="23"/>
        <v>0</v>
      </c>
      <c r="X25" s="89"/>
      <c r="Y25" s="60">
        <f t="shared" si="24"/>
        <v>0</v>
      </c>
      <c r="Z25" s="31">
        <f t="shared" si="3"/>
        <v>1294477.9075730715</v>
      </c>
      <c r="AA25" s="91"/>
      <c r="AB25" s="45"/>
      <c r="AC25" s="162">
        <f>Z25+AA25-AB25</f>
        <v>1294477.9075730715</v>
      </c>
      <c r="AD25" s="92">
        <v>0</v>
      </c>
      <c r="AE25" s="47"/>
      <c r="AG25" s="76"/>
    </row>
    <row r="26" spans="1:33" s="147" customFormat="1">
      <c r="A26" s="146"/>
      <c r="B26" s="95"/>
      <c r="C26" s="19"/>
      <c r="D26" s="148"/>
      <c r="E26" s="149"/>
      <c r="F26" s="94"/>
      <c r="G26" s="85"/>
      <c r="H26" s="168">
        <f>SUM(H18:H25)</f>
        <v>7452910.5774999997</v>
      </c>
      <c r="I26" s="31"/>
      <c r="J26" s="31"/>
      <c r="K26" s="166"/>
      <c r="L26" s="87"/>
      <c r="M26" s="35">
        <f t="shared" ref="M26:M43" si="29">(E26*($M$4)*L26)</f>
        <v>0</v>
      </c>
      <c r="N26" s="89"/>
      <c r="O26" s="35">
        <f t="shared" si="7"/>
        <v>0</v>
      </c>
      <c r="P26" s="152"/>
      <c r="Q26" s="153">
        <f>SUM(Q18:Q25)</f>
        <v>616872.40616391646</v>
      </c>
      <c r="R26" s="90"/>
      <c r="S26" s="88"/>
      <c r="T26" s="88"/>
      <c r="U26" s="88"/>
      <c r="V26" s="87"/>
      <c r="W26" s="60"/>
      <c r="X26" s="89"/>
      <c r="Y26" s="60"/>
      <c r="Z26" s="31"/>
      <c r="AA26" s="91"/>
      <c r="AB26" s="45"/>
      <c r="AC26" s="53">
        <f>SUM(AC18:AC25)</f>
        <v>8914943.5801501218</v>
      </c>
      <c r="AD26" s="92"/>
      <c r="AE26" s="47"/>
      <c r="AG26" s="154"/>
    </row>
    <row r="27" spans="1:33">
      <c r="A27" s="20" t="s">
        <v>52</v>
      </c>
      <c r="B27" s="96"/>
      <c r="C27" s="47"/>
      <c r="D27" s="126"/>
      <c r="E27" s="132">
        <f>SUM(E5:E15)</f>
        <v>107071.04072912404</v>
      </c>
      <c r="F27" s="97">
        <f>SUM(F5:F25)</f>
        <v>1300471.8718333333</v>
      </c>
      <c r="G27" s="98"/>
      <c r="H27" s="169"/>
      <c r="I27" s="100">
        <f>SUM(I5:I15)</f>
        <v>988076.83333333326</v>
      </c>
      <c r="J27" s="100">
        <f>SUM(J5:J25)</f>
        <v>1108900</v>
      </c>
      <c r="K27" s="170">
        <f>SUM(K5:K15)</f>
        <v>555620.52</v>
      </c>
      <c r="L27" s="20"/>
      <c r="M27" s="100">
        <f>SUM(M18:M26)</f>
        <v>513120.19648620399</v>
      </c>
      <c r="N27" s="20"/>
      <c r="O27" s="100">
        <f>SUM(O5:O15)</f>
        <v>0</v>
      </c>
      <c r="P27" s="99"/>
      <c r="Q27" s="99">
        <f>Q16+Q26</f>
        <v>970520.73563343775</v>
      </c>
      <c r="R27" s="20"/>
      <c r="S27" s="101">
        <f>SUM(S5:S15)</f>
        <v>0</v>
      </c>
      <c r="T27" s="35"/>
      <c r="U27" s="101">
        <f>SUM(U5:U15)</f>
        <v>0</v>
      </c>
      <c r="V27" s="20"/>
      <c r="W27" s="100">
        <f>SUM(W5:W15)</f>
        <v>0</v>
      </c>
      <c r="X27" s="20"/>
      <c r="Y27" s="100">
        <f>SUM(Y5:Y15)</f>
        <v>0</v>
      </c>
      <c r="Z27" s="102">
        <f>SUM(Z5:Z25)</f>
        <v>22513264.12502807</v>
      </c>
      <c r="AA27" s="103">
        <f>SUM(AA5:AA15)</f>
        <v>551500</v>
      </c>
      <c r="AB27" s="103">
        <f>SUM(AB5:AB15)</f>
        <v>511600</v>
      </c>
      <c r="AC27" s="104">
        <f>AC16+AC26</f>
        <v>20798652.825028069</v>
      </c>
      <c r="AD27" s="58"/>
      <c r="AE27" s="105"/>
    </row>
    <row r="28" spans="1:33" ht="15">
      <c r="A28" s="247" t="s">
        <v>54</v>
      </c>
      <c r="B28" s="247"/>
      <c r="C28" s="247"/>
      <c r="D28" s="247"/>
      <c r="E28" s="247"/>
      <c r="F28" s="247"/>
      <c r="G28" s="247"/>
      <c r="H28" s="247"/>
      <c r="I28" s="247"/>
      <c r="AC28" s="154">
        <f>AC6+AC7+AC8+AC9+AC11+AC12+AC14+AC18+AC19+AC21+AC22+AC23+AC24+AC25</f>
        <v>16474190.972902974</v>
      </c>
    </row>
    <row r="29" spans="1:33" ht="15">
      <c r="A29" s="21" t="s">
        <v>55</v>
      </c>
      <c r="B29" s="22">
        <v>1750905</v>
      </c>
      <c r="C29" s="135" t="s">
        <v>56</v>
      </c>
      <c r="D29" s="16"/>
      <c r="E29" s="16"/>
      <c r="F29" s="16"/>
      <c r="G29" s="16"/>
      <c r="H29" s="16"/>
      <c r="I29" s="16"/>
      <c r="AC29" s="147"/>
    </row>
    <row r="30" spans="1:33" ht="15">
      <c r="A30" s="23" t="s">
        <v>57</v>
      </c>
      <c r="B30" s="24">
        <v>249095</v>
      </c>
      <c r="C30" s="136">
        <v>5.0999999999999997E-2</v>
      </c>
      <c r="D30" s="16"/>
      <c r="E30" s="16"/>
      <c r="F30" s="16"/>
      <c r="G30" s="16"/>
      <c r="H30" s="16"/>
      <c r="I30" s="16"/>
      <c r="AC30" s="147"/>
      <c r="AE30" s="106"/>
    </row>
    <row r="31" spans="1:33" ht="15">
      <c r="A31" s="16"/>
      <c r="B31" s="16"/>
      <c r="C31" s="16"/>
      <c r="D31" s="16"/>
      <c r="E31" s="16"/>
      <c r="F31" s="16"/>
      <c r="G31" s="16"/>
      <c r="H31" s="16"/>
      <c r="I31" s="16"/>
      <c r="AC31" s="147"/>
      <c r="AE31" s="106"/>
    </row>
    <row r="32" spans="1:33" ht="29.25">
      <c r="A32" s="125" t="s">
        <v>58</v>
      </c>
      <c r="B32" s="16"/>
      <c r="C32" s="16"/>
      <c r="D32" s="16"/>
      <c r="E32" s="16"/>
      <c r="F32" s="16"/>
      <c r="G32" s="16"/>
      <c r="H32" s="16"/>
      <c r="I32" s="16"/>
      <c r="AC32" s="147"/>
      <c r="AE32" s="106"/>
      <c r="AG32" s="107"/>
    </row>
    <row r="33" spans="1:31" ht="15">
      <c r="A33" s="245" t="s">
        <v>59</v>
      </c>
      <c r="B33" s="16"/>
      <c r="C33" s="16"/>
      <c r="D33" s="16"/>
      <c r="E33" s="16"/>
      <c r="F33" s="16"/>
      <c r="G33" s="16"/>
      <c r="H33" s="16"/>
      <c r="I33" s="16"/>
      <c r="M33" s="249" t="s">
        <v>60</v>
      </c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AC33" s="147"/>
      <c r="AE33" s="106"/>
    </row>
    <row r="34" spans="1:31" ht="15">
      <c r="A34" s="245"/>
      <c r="B34" s="16"/>
      <c r="C34" s="16"/>
      <c r="D34" s="16"/>
      <c r="E34" s="16"/>
      <c r="F34" s="16"/>
      <c r="G34" s="16"/>
      <c r="H34" s="16"/>
      <c r="I34" s="16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AC34" s="147"/>
      <c r="AE34" s="106"/>
    </row>
    <row r="35" spans="1:31">
      <c r="F35" s="108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AC35" s="147"/>
      <c r="AE35" s="106"/>
    </row>
    <row r="36" spans="1:31">
      <c r="M36" s="250" t="s">
        <v>61</v>
      </c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AE36" s="106"/>
    </row>
    <row r="37" spans="1:31">
      <c r="J37" s="109"/>
      <c r="AE37" s="106"/>
    </row>
    <row r="38" spans="1:31">
      <c r="F38" s="108"/>
      <c r="J38" s="109"/>
      <c r="AE38" s="106"/>
    </row>
    <row r="39" spans="1:31">
      <c r="J39" s="109"/>
      <c r="AE39" s="106"/>
    </row>
    <row r="40" spans="1:31" ht="43.5" customHeight="1">
      <c r="D40" s="248" t="s">
        <v>62</v>
      </c>
      <c r="E40" s="248"/>
      <c r="F40" s="248"/>
      <c r="G40" s="26">
        <v>8</v>
      </c>
      <c r="AE40" s="106"/>
    </row>
    <row r="41" spans="1:31">
      <c r="J41" s="109"/>
      <c r="AE41" s="106"/>
    </row>
  </sheetData>
  <mergeCells count="10">
    <mergeCell ref="AD3:AE3"/>
    <mergeCell ref="A28:I28"/>
    <mergeCell ref="A33:A34"/>
    <mergeCell ref="M33:Y35"/>
    <mergeCell ref="M36:Y36"/>
    <mergeCell ref="D40:F40"/>
    <mergeCell ref="AC12:AC13"/>
    <mergeCell ref="A1:AC1"/>
    <mergeCell ref="A2:AC2"/>
    <mergeCell ref="A3:AC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C539-4F57-4114-8420-C4FE45096877}">
  <dimension ref="A1:AT41"/>
  <sheetViews>
    <sheetView workbookViewId="0">
      <pane xSplit="3" topLeftCell="AF1" activePane="topRight" state="frozen"/>
      <selection pane="topRight" activeCell="AF19" sqref="AF19"/>
    </sheetView>
  </sheetViews>
  <sheetFormatPr defaultRowHeight="13.5"/>
  <cols>
    <col min="1" max="1" width="48.7109375" style="26" customWidth="1"/>
    <col min="2" max="2" width="12.140625" style="26" bestFit="1" customWidth="1"/>
    <col min="3" max="3" width="17.5703125" style="26" customWidth="1"/>
    <col min="4" max="4" width="15.7109375" style="26" customWidth="1"/>
    <col min="5" max="5" width="11" style="26" customWidth="1"/>
    <col min="6" max="6" width="13.28515625" style="26" customWidth="1"/>
    <col min="7" max="7" width="12.28515625" style="26" customWidth="1"/>
    <col min="8" max="8" width="12.7109375" style="26" customWidth="1"/>
    <col min="9" max="9" width="12.28515625" style="26" customWidth="1"/>
    <col min="10" max="10" width="26.28515625" style="26" bestFit="1" customWidth="1"/>
    <col min="11" max="11" width="15.28515625" style="26" customWidth="1"/>
    <col min="12" max="12" width="9.140625" style="26"/>
    <col min="13" max="13" width="12.42578125" style="26" customWidth="1"/>
    <col min="14" max="16" width="9.140625" style="26"/>
    <col min="17" max="17" width="12.140625" style="26" customWidth="1"/>
    <col min="18" max="24" width="9.140625" style="26"/>
    <col min="25" max="25" width="10.85546875" style="26" customWidth="1"/>
    <col min="26" max="26" width="13.5703125" style="26" bestFit="1" customWidth="1"/>
    <col min="27" max="27" width="16.5703125" style="26" customWidth="1"/>
    <col min="28" max="28" width="14.85546875" style="26" customWidth="1"/>
    <col min="29" max="29" width="14.42578125" style="26" customWidth="1"/>
    <col min="30" max="30" width="18.28515625" style="26" customWidth="1"/>
    <col min="31" max="31" width="15.28515625" style="26" customWidth="1"/>
    <col min="32" max="32" width="36.5703125" style="26" bestFit="1" customWidth="1"/>
    <col min="33" max="16384" width="9.140625" style="26"/>
  </cols>
  <sheetData>
    <row r="1" spans="1:46" ht="2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"/>
    </row>
    <row r="2" spans="1:46" ht="21">
      <c r="A2" s="252" t="s">
        <v>67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7"/>
    </row>
    <row r="3" spans="1:46" ht="21">
      <c r="A3" s="251" t="s">
        <v>2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46" t="s">
        <v>3</v>
      </c>
      <c r="AE3" s="246"/>
    </row>
    <row r="4" spans="1:46" ht="38.25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4" t="s">
        <v>68</v>
      </c>
      <c r="K4" s="3" t="s">
        <v>65</v>
      </c>
      <c r="L4" s="5" t="s">
        <v>15</v>
      </c>
      <c r="M4" s="6">
        <v>0.25</v>
      </c>
      <c r="N4" s="7" t="s">
        <v>16</v>
      </c>
      <c r="O4" s="8">
        <v>0.75</v>
      </c>
      <c r="P4" s="9" t="s">
        <v>17</v>
      </c>
      <c r="Q4" s="9">
        <v>0.8</v>
      </c>
      <c r="R4" s="10" t="s">
        <v>18</v>
      </c>
      <c r="S4" s="11">
        <v>1</v>
      </c>
      <c r="T4" s="12" t="s">
        <v>19</v>
      </c>
      <c r="U4" s="12">
        <v>1.1000000000000001</v>
      </c>
      <c r="V4" s="5" t="s">
        <v>20</v>
      </c>
      <c r="W4" s="6">
        <v>1.5</v>
      </c>
      <c r="X4" s="4" t="s">
        <v>21</v>
      </c>
      <c r="Y4" s="9">
        <v>0.35</v>
      </c>
      <c r="Z4" s="13" t="s">
        <v>22</v>
      </c>
      <c r="AA4" s="3" t="s">
        <v>23</v>
      </c>
      <c r="AB4" s="14" t="s">
        <v>24</v>
      </c>
      <c r="AC4" s="158" t="s">
        <v>25</v>
      </c>
      <c r="AD4" s="14" t="s">
        <v>26</v>
      </c>
      <c r="AE4" s="15" t="s">
        <v>27</v>
      </c>
    </row>
    <row r="5" spans="1:46">
      <c r="A5" s="17" t="s">
        <v>28</v>
      </c>
      <c r="B5" s="28">
        <v>94558569</v>
      </c>
      <c r="C5" s="29" t="s">
        <v>29</v>
      </c>
      <c r="D5" s="130"/>
      <c r="E5" s="30">
        <f>F5/8</f>
        <v>13837.5</v>
      </c>
      <c r="F5" s="31">
        <v>110700</v>
      </c>
      <c r="G5" s="32">
        <v>18</v>
      </c>
      <c r="H5" s="44">
        <f>F5*G5</f>
        <v>1992600</v>
      </c>
      <c r="I5" s="31"/>
      <c r="J5" s="33"/>
      <c r="K5" s="31"/>
      <c r="L5" s="34">
        <v>1</v>
      </c>
      <c r="M5" s="35">
        <f>(E5*L5)</f>
        <v>13837.5</v>
      </c>
      <c r="N5" s="36"/>
      <c r="O5" s="35">
        <f>(E5*($O$4+1)*N5)</f>
        <v>0</v>
      </c>
      <c r="P5" s="37">
        <v>0</v>
      </c>
      <c r="Q5" s="35">
        <f>(E5*($Q$4+1)*P5)</f>
        <v>0</v>
      </c>
      <c r="R5" s="38"/>
      <c r="S5" s="35">
        <f>(E5*($S$4+1)*R5)</f>
        <v>0</v>
      </c>
      <c r="T5" s="35"/>
      <c r="U5" s="35">
        <f t="shared" ref="U5:U25" si="0">(E5*($U$4+1)*T5)</f>
        <v>0</v>
      </c>
      <c r="V5" s="38"/>
      <c r="W5" s="31">
        <f>(E5*($W$4+1)*V5)</f>
        <v>0</v>
      </c>
      <c r="X5" s="38"/>
      <c r="Y5" s="31">
        <f>(E5*($Y$4+1)*X5)</f>
        <v>0</v>
      </c>
      <c r="Z5" s="31">
        <f>H5+I5+J5+M5+O5+S5+U5+W5+Y5-K5+Q5</f>
        <v>2006437.5</v>
      </c>
      <c r="AA5" s="39">
        <v>46000</v>
      </c>
      <c r="AB5" s="40"/>
      <c r="AC5" s="53">
        <f>Z5+AA5-AB5</f>
        <v>2052437.5</v>
      </c>
      <c r="AD5" s="41">
        <v>0</v>
      </c>
      <c r="AE5" s="47"/>
      <c r="AF5" s="26">
        <v>2500</v>
      </c>
    </row>
    <row r="6" spans="1:46">
      <c r="A6" s="17" t="s">
        <v>30</v>
      </c>
      <c r="B6" s="28">
        <v>6163973</v>
      </c>
      <c r="C6" s="42">
        <v>142184027</v>
      </c>
      <c r="D6" s="137"/>
      <c r="E6" s="30">
        <f>F6/8</f>
        <v>13837.5</v>
      </c>
      <c r="F6" s="31">
        <v>110700</v>
      </c>
      <c r="G6" s="43">
        <v>15</v>
      </c>
      <c r="H6" s="44">
        <f>G6*F6</f>
        <v>1660500</v>
      </c>
      <c r="I6" s="31"/>
      <c r="J6" s="33"/>
      <c r="K6" s="31"/>
      <c r="L6" s="38">
        <v>2</v>
      </c>
      <c r="M6" s="35">
        <f>(E6*L6)</f>
        <v>27675</v>
      </c>
      <c r="N6" s="38"/>
      <c r="O6" s="35">
        <f>(E6*($O$4+1)*N6)</f>
        <v>0</v>
      </c>
      <c r="P6" s="37">
        <v>0</v>
      </c>
      <c r="Q6" s="35">
        <f t="shared" ref="Q6:Q15" si="1">(E6*($Q$4+1)*P6)</f>
        <v>0</v>
      </c>
      <c r="R6" s="38"/>
      <c r="S6" s="35">
        <f t="shared" ref="S6:S25" si="2">(E6*($S$4+1)*R6)</f>
        <v>0</v>
      </c>
      <c r="T6" s="35"/>
      <c r="U6" s="35">
        <f t="shared" si="0"/>
        <v>0</v>
      </c>
      <c r="V6" s="38"/>
      <c r="W6" s="31">
        <f>(E6*($W$4+1)*V6)</f>
        <v>0</v>
      </c>
      <c r="X6" s="19"/>
      <c r="Y6" s="31">
        <f>(E6*($Y$4+1)*X6)</f>
        <v>0</v>
      </c>
      <c r="Z6" s="31">
        <f t="shared" ref="Z6:Z25" si="3">H6+I6+J6+M6+O6+S6+U6+W6+Y6-K6+Q6</f>
        <v>1688175</v>
      </c>
      <c r="AA6" s="57">
        <v>11000</v>
      </c>
      <c r="AB6" s="46"/>
      <c r="AC6" s="182">
        <f>Z6+AA6-AB6</f>
        <v>1699175</v>
      </c>
      <c r="AD6" s="41">
        <v>0</v>
      </c>
      <c r="AE6" s="47"/>
    </row>
    <row r="7" spans="1:46">
      <c r="A7" s="113" t="s">
        <v>31</v>
      </c>
      <c r="B7" s="28">
        <v>1006011966</v>
      </c>
      <c r="C7" s="48">
        <v>164461378</v>
      </c>
      <c r="D7" s="137">
        <f>B29+80000</f>
        <v>1830905</v>
      </c>
      <c r="E7" s="30">
        <f>F7/7.333</f>
        <v>8322.6737578980865</v>
      </c>
      <c r="F7" s="31">
        <f>D7/30</f>
        <v>61030.166666666664</v>
      </c>
      <c r="G7" s="43">
        <v>15</v>
      </c>
      <c r="H7" s="44">
        <f>G7*F7</f>
        <v>915452.5</v>
      </c>
      <c r="I7" s="49">
        <f>(249095/30)*G7</f>
        <v>124547.49999999999</v>
      </c>
      <c r="J7" s="50"/>
      <c r="K7" s="51">
        <f>((($B$29/2)*8%)/15)*G7</f>
        <v>70036.2</v>
      </c>
      <c r="L7" s="38">
        <v>5</v>
      </c>
      <c r="M7" s="173">
        <f>(E7*($M$4+1)*L7)</f>
        <v>52016.710986863036</v>
      </c>
      <c r="N7" s="19"/>
      <c r="O7" s="35">
        <f>(E7*($O$4)*N7)</f>
        <v>0</v>
      </c>
      <c r="P7" s="52">
        <v>27</v>
      </c>
      <c r="Q7" s="35">
        <f t="shared" si="1"/>
        <v>404481.94463384704</v>
      </c>
      <c r="R7" s="38"/>
      <c r="S7" s="35">
        <f>(E7*($S$4)*R7)</f>
        <v>0</v>
      </c>
      <c r="T7" s="35"/>
      <c r="U7" s="35">
        <f>(E7*($U$4)*T7)</f>
        <v>0</v>
      </c>
      <c r="V7" s="38"/>
      <c r="W7" s="31">
        <f>(E7*($W$4)*V7)</f>
        <v>0</v>
      </c>
      <c r="X7" s="19"/>
      <c r="Y7" s="31">
        <f>(E7*($Y$4)*X7)</f>
        <v>0</v>
      </c>
      <c r="Z7" s="31">
        <f>H7+I7+J7+M7+O7+S7+U7+W7+Y7-K7+Q7</f>
        <v>1426462.4556207103</v>
      </c>
      <c r="AA7" s="160">
        <v>415825</v>
      </c>
      <c r="AB7" s="45">
        <v>400000</v>
      </c>
      <c r="AC7" s="182">
        <f>Z7+AA7-AB7</f>
        <v>1442287.4556207103</v>
      </c>
      <c r="AD7" s="41">
        <v>400000</v>
      </c>
      <c r="AE7" s="47"/>
    </row>
    <row r="8" spans="1:46">
      <c r="A8" s="113" t="s">
        <v>32</v>
      </c>
      <c r="B8" s="54">
        <v>1006172144</v>
      </c>
      <c r="C8" s="66">
        <v>445515752</v>
      </c>
      <c r="D8" s="138">
        <f>(1800000*10%)+1800000</f>
        <v>1980000</v>
      </c>
      <c r="E8" s="30">
        <f t="shared" ref="E8:E25" si="4">F8/7.333</f>
        <v>9000.4091095049771</v>
      </c>
      <c r="F8" s="31">
        <f>D8/30</f>
        <v>66000</v>
      </c>
      <c r="G8" s="43">
        <v>15</v>
      </c>
      <c r="H8" s="44">
        <f>G8*F8</f>
        <v>990000</v>
      </c>
      <c r="I8" s="49">
        <f t="shared" ref="I8:I25" si="5">(249095/30)*G8</f>
        <v>124547.49999999999</v>
      </c>
      <c r="J8" s="33"/>
      <c r="K8" s="51">
        <f>((($B$29/2)*8%)/15)*G8</f>
        <v>70036.2</v>
      </c>
      <c r="L8" s="38">
        <v>4</v>
      </c>
      <c r="M8" s="173">
        <f t="shared" ref="M8:M25" si="6">(E8*($M$4+1)*L8)</f>
        <v>45002.045547524889</v>
      </c>
      <c r="N8" s="18"/>
      <c r="O8" s="35">
        <f t="shared" ref="O8:O26" si="7">(E8*($O$4)*N8)</f>
        <v>0</v>
      </c>
      <c r="P8" s="178">
        <v>2</v>
      </c>
      <c r="Q8" s="179">
        <f t="shared" si="1"/>
        <v>32401.47279421792</v>
      </c>
      <c r="R8" s="56"/>
      <c r="S8" s="35">
        <f t="shared" ref="S8:S25" si="8">(E8*($S$4)*R8)</f>
        <v>0</v>
      </c>
      <c r="T8" s="35"/>
      <c r="U8" s="35">
        <f t="shared" ref="U8:U25" si="9">(E8*($U$4)*T8)</f>
        <v>0</v>
      </c>
      <c r="V8" s="38"/>
      <c r="W8" s="31">
        <f>(E8*($W$4)*V8)</f>
        <v>0</v>
      </c>
      <c r="X8" s="19"/>
      <c r="Y8" s="31">
        <f>(E8*($Y$4)*X8)</f>
        <v>0</v>
      </c>
      <c r="Z8" s="31">
        <f>H8+I8+J8+M8+O8+S8+U8+W8+Y8-K8+Q8</f>
        <v>1121914.818341743</v>
      </c>
      <c r="AA8" s="57"/>
      <c r="AB8" s="57">
        <v>528000</v>
      </c>
      <c r="AC8" s="53">
        <f>Z8+AA8-AB8</f>
        <v>593914.81834174297</v>
      </c>
      <c r="AD8" s="41">
        <v>0</v>
      </c>
      <c r="AE8" s="58"/>
    </row>
    <row r="9" spans="1:46">
      <c r="A9" s="115" t="s">
        <v>33</v>
      </c>
      <c r="B9" s="128">
        <v>1111538848</v>
      </c>
      <c r="C9" s="127">
        <v>487430761</v>
      </c>
      <c r="D9" s="139">
        <f>B29</f>
        <v>1750905</v>
      </c>
      <c r="E9" s="30">
        <f t="shared" si="4"/>
        <v>7959.0208645847533</v>
      </c>
      <c r="F9" s="31">
        <f t="shared" ref="F9:F26" si="10">D9/30</f>
        <v>58363.5</v>
      </c>
      <c r="G9" s="61">
        <v>15</v>
      </c>
      <c r="H9" s="44">
        <f>G9*F9</f>
        <v>875452.5</v>
      </c>
      <c r="I9" s="49">
        <f t="shared" si="5"/>
        <v>124547.49999999999</v>
      </c>
      <c r="J9" s="175"/>
      <c r="K9" s="51">
        <f>((($B$29/2)*8%)/15)*G9</f>
        <v>70036.2</v>
      </c>
      <c r="L9" s="38"/>
      <c r="M9" s="173">
        <f t="shared" si="6"/>
        <v>0</v>
      </c>
      <c r="N9" s="19"/>
      <c r="O9" s="35">
        <f t="shared" si="7"/>
        <v>0</v>
      </c>
      <c r="P9" s="52"/>
      <c r="Q9" s="35">
        <f>((E9*Q4)+E9)*P9</f>
        <v>0</v>
      </c>
      <c r="R9" s="56"/>
      <c r="S9" s="35">
        <f t="shared" si="8"/>
        <v>0</v>
      </c>
      <c r="T9" s="35"/>
      <c r="U9" s="35">
        <f t="shared" si="9"/>
        <v>0</v>
      </c>
      <c r="V9" s="38"/>
      <c r="W9" s="31">
        <f>(E9*($W$4)*V9)</f>
        <v>0</v>
      </c>
      <c r="X9" s="19"/>
      <c r="Y9" s="31">
        <f>(E9*($Y$4)*X9)</f>
        <v>0</v>
      </c>
      <c r="Z9" s="31">
        <f>H9+I9+J9+M9+O9+S9+U9+W9+Y9-K9+Q9</f>
        <v>929963.8</v>
      </c>
      <c r="AA9" s="63"/>
      <c r="AB9" s="64"/>
      <c r="AC9" s="182">
        <f>Z9+AA9-AB9</f>
        <v>929963.8</v>
      </c>
      <c r="AD9" s="41">
        <v>0</v>
      </c>
      <c r="AE9" s="65"/>
    </row>
    <row r="10" spans="1:46">
      <c r="A10" s="118" t="s">
        <v>34</v>
      </c>
      <c r="B10" s="54">
        <v>94493221</v>
      </c>
      <c r="C10" s="129">
        <v>166203299</v>
      </c>
      <c r="D10" s="140">
        <v>3000000</v>
      </c>
      <c r="E10" s="30">
        <f t="shared" si="4"/>
        <v>13636.983499249965</v>
      </c>
      <c r="F10" s="31">
        <f t="shared" si="10"/>
        <v>100000</v>
      </c>
      <c r="G10" s="61">
        <v>15</v>
      </c>
      <c r="H10" s="44">
        <f>G10*F10</f>
        <v>1500000</v>
      </c>
      <c r="I10" s="49">
        <f t="shared" si="5"/>
        <v>124547.49999999999</v>
      </c>
      <c r="J10" s="62"/>
      <c r="K10" s="51">
        <f t="shared" ref="K10:K17" si="11">((($B$29/2)*8%)/15)*G10</f>
        <v>70036.2</v>
      </c>
      <c r="L10" s="67"/>
      <c r="M10" s="177">
        <f t="shared" si="6"/>
        <v>0</v>
      </c>
      <c r="N10" s="69"/>
      <c r="O10" s="35">
        <f t="shared" si="7"/>
        <v>0</v>
      </c>
      <c r="P10" s="70"/>
      <c r="Q10" s="35">
        <f>(E10*($Q$4+1)*P10)</f>
        <v>0</v>
      </c>
      <c r="R10" s="71"/>
      <c r="S10" s="35">
        <f t="shared" si="8"/>
        <v>0</v>
      </c>
      <c r="T10" s="68"/>
      <c r="U10" s="35">
        <f t="shared" si="9"/>
        <v>0</v>
      </c>
      <c r="V10" s="67"/>
      <c r="W10" s="62">
        <f>(E10*($W$4+1)*V10)</f>
        <v>0</v>
      </c>
      <c r="X10" s="69"/>
      <c r="Y10" s="72">
        <f>(E10*($Y$4+1)*X10)</f>
        <v>0</v>
      </c>
      <c r="Z10" s="31">
        <f>H10+I10+J10+M10+O10+S10+U10+W10+Y10-K10+Q10</f>
        <v>1554511.3</v>
      </c>
      <c r="AA10" s="73"/>
      <c r="AB10" s="64"/>
      <c r="AC10" s="181">
        <f>Z10+AA10-AB10</f>
        <v>1554511.3</v>
      </c>
      <c r="AD10" s="41">
        <v>0</v>
      </c>
      <c r="AE10" s="74"/>
    </row>
    <row r="11" spans="1:46">
      <c r="A11" s="113" t="s">
        <v>35</v>
      </c>
      <c r="B11" s="59">
        <v>1111797488</v>
      </c>
      <c r="C11" s="55">
        <v>487416612</v>
      </c>
      <c r="D11" s="141">
        <f>B29+50000</f>
        <v>1800905</v>
      </c>
      <c r="E11" s="30">
        <f t="shared" si="4"/>
        <v>8186.3039229055858</v>
      </c>
      <c r="F11" s="31">
        <f t="shared" si="10"/>
        <v>60030.166666666664</v>
      </c>
      <c r="G11" s="43">
        <v>15</v>
      </c>
      <c r="H11" s="44">
        <f>G11*F11</f>
        <v>900452.5</v>
      </c>
      <c r="I11" s="49">
        <f t="shared" si="5"/>
        <v>124547.49999999999</v>
      </c>
      <c r="J11" s="33"/>
      <c r="K11" s="51">
        <f t="shared" si="11"/>
        <v>70036.2</v>
      </c>
      <c r="L11" s="38">
        <v>5</v>
      </c>
      <c r="M11" s="177">
        <f t="shared" si="6"/>
        <v>51164.399518159909</v>
      </c>
      <c r="N11" s="19"/>
      <c r="O11" s="35">
        <f t="shared" si="7"/>
        <v>0</v>
      </c>
      <c r="P11" s="52">
        <v>27</v>
      </c>
      <c r="Q11" s="35">
        <f t="shared" si="1"/>
        <v>397854.37065321149</v>
      </c>
      <c r="R11" s="38"/>
      <c r="S11" s="35">
        <f t="shared" si="8"/>
        <v>0</v>
      </c>
      <c r="T11" s="35"/>
      <c r="U11" s="35">
        <f t="shared" si="9"/>
        <v>0</v>
      </c>
      <c r="V11" s="38"/>
      <c r="W11" s="31">
        <f>(E11*($W$4)*V11)</f>
        <v>0</v>
      </c>
      <c r="X11" s="19"/>
      <c r="Y11" s="31">
        <f>(E11*($Y$4)*X11)</f>
        <v>0</v>
      </c>
      <c r="Z11" s="60">
        <f>H11+I11+J11+M11+O11+S11+U11+W11+Y11-K11+Q11</f>
        <v>1403982.5701713716</v>
      </c>
      <c r="AA11" s="57">
        <v>116000</v>
      </c>
      <c r="AB11" s="58">
        <v>50000</v>
      </c>
      <c r="AC11" s="184">
        <f>Z11+AA11-AB11</f>
        <v>1469982.5701713716</v>
      </c>
      <c r="AD11" s="41">
        <v>50000</v>
      </c>
      <c r="AE11" s="58"/>
      <c r="AH11" s="76"/>
    </row>
    <row r="12" spans="1:46">
      <c r="A12" s="113" t="s">
        <v>36</v>
      </c>
      <c r="B12" s="77" t="s">
        <v>37</v>
      </c>
      <c r="C12" s="69">
        <v>256524836</v>
      </c>
      <c r="D12" s="142">
        <f>B29+50000</f>
        <v>1800905</v>
      </c>
      <c r="E12" s="30">
        <f t="shared" si="4"/>
        <v>8186.3039229055858</v>
      </c>
      <c r="F12" s="31">
        <f t="shared" si="10"/>
        <v>60030.166666666664</v>
      </c>
      <c r="G12" s="43">
        <v>12</v>
      </c>
      <c r="H12" s="44">
        <f>F12*G12</f>
        <v>720362</v>
      </c>
      <c r="I12" s="49">
        <f t="shared" si="5"/>
        <v>99638</v>
      </c>
      <c r="J12" s="50"/>
      <c r="K12" s="51">
        <f t="shared" si="11"/>
        <v>56028.959999999999</v>
      </c>
      <c r="L12" s="38">
        <v>1</v>
      </c>
      <c r="M12" s="173">
        <f t="shared" si="6"/>
        <v>10232.879903631982</v>
      </c>
      <c r="N12" s="19"/>
      <c r="O12" s="35">
        <f t="shared" si="7"/>
        <v>0</v>
      </c>
      <c r="P12" s="52">
        <v>18</v>
      </c>
      <c r="Q12" s="35">
        <f t="shared" si="1"/>
        <v>265236.24710214097</v>
      </c>
      <c r="R12" s="38"/>
      <c r="S12" s="35">
        <f t="shared" si="8"/>
        <v>0</v>
      </c>
      <c r="T12" s="35"/>
      <c r="U12" s="35">
        <f t="shared" si="9"/>
        <v>0</v>
      </c>
      <c r="V12" s="38"/>
      <c r="W12" s="31">
        <f>(E12*($W$4+1)*V12)</f>
        <v>0</v>
      </c>
      <c r="X12" s="19"/>
      <c r="Y12" s="31">
        <f>(E12*($Y$4+1)*X12)</f>
        <v>0</v>
      </c>
      <c r="Z12" s="31">
        <f t="shared" si="3"/>
        <v>1039440.1670057729</v>
      </c>
      <c r="AA12" s="57">
        <v>4000</v>
      </c>
      <c r="AB12" s="78"/>
      <c r="AC12" s="255">
        <f>Z12+Z13+AA12-AB12</f>
        <v>1229432.9270057729</v>
      </c>
      <c r="AD12" s="41"/>
      <c r="AE12" s="58"/>
    </row>
    <row r="13" spans="1:46">
      <c r="A13" s="174" t="s">
        <v>66</v>
      </c>
      <c r="B13" s="77" t="s">
        <v>37</v>
      </c>
      <c r="C13" s="69">
        <v>256524836</v>
      </c>
      <c r="D13" s="143">
        <v>1750905</v>
      </c>
      <c r="E13" s="30">
        <v>7959.0208645847497</v>
      </c>
      <c r="F13" s="31">
        <v>58363.5</v>
      </c>
      <c r="G13" s="43">
        <v>3</v>
      </c>
      <c r="H13" s="157">
        <f>G13*F13</f>
        <v>175090.5</v>
      </c>
      <c r="I13" s="49">
        <f t="shared" si="5"/>
        <v>24909.5</v>
      </c>
      <c r="J13" s="167"/>
      <c r="K13" s="51">
        <f t="shared" si="11"/>
        <v>14007.24</v>
      </c>
      <c r="L13" s="38"/>
      <c r="M13" s="177">
        <f t="shared" si="6"/>
        <v>0</v>
      </c>
      <c r="N13" s="19"/>
      <c r="O13" s="35">
        <f t="shared" si="7"/>
        <v>0</v>
      </c>
      <c r="P13" s="81"/>
      <c r="Q13" s="35">
        <f t="shared" si="1"/>
        <v>0</v>
      </c>
      <c r="R13" s="82"/>
      <c r="S13" s="35">
        <f t="shared" si="8"/>
        <v>0</v>
      </c>
      <c r="T13" s="35"/>
      <c r="U13" s="35">
        <f t="shared" si="9"/>
        <v>0</v>
      </c>
      <c r="V13" s="38"/>
      <c r="W13" s="31">
        <f t="shared" ref="W13:W25" si="12">(E13*($W$4)*V13)</f>
        <v>0</v>
      </c>
      <c r="X13" s="19"/>
      <c r="Y13" s="31">
        <f t="shared" ref="Y13:Y25" si="13">(E13*($Y$4)*X13)</f>
        <v>0</v>
      </c>
      <c r="Z13" s="31">
        <f t="shared" si="3"/>
        <v>185992.76</v>
      </c>
      <c r="AA13" s="57"/>
      <c r="AB13" s="45"/>
      <c r="AC13" s="256"/>
      <c r="AD13" s="41"/>
      <c r="AE13" s="83">
        <v>0</v>
      </c>
    </row>
    <row r="14" spans="1:46">
      <c r="A14" s="116" t="s">
        <v>38</v>
      </c>
      <c r="B14" s="28">
        <v>1007838659</v>
      </c>
      <c r="C14" s="79">
        <v>487432619</v>
      </c>
      <c r="D14" s="143">
        <f>B29</f>
        <v>1750905</v>
      </c>
      <c r="E14" s="30">
        <f t="shared" si="4"/>
        <v>7959.0208645847533</v>
      </c>
      <c r="F14" s="31">
        <f>D14/30</f>
        <v>58363.5</v>
      </c>
      <c r="G14" s="43">
        <v>15</v>
      </c>
      <c r="H14" s="157">
        <f>G14*F14</f>
        <v>875452.5</v>
      </c>
      <c r="I14" s="49">
        <f t="shared" si="5"/>
        <v>124547.49999999999</v>
      </c>
      <c r="J14" s="167"/>
      <c r="K14" s="51">
        <f t="shared" si="11"/>
        <v>70036.2</v>
      </c>
      <c r="L14" s="38">
        <v>3</v>
      </c>
      <c r="M14" s="173">
        <f t="shared" si="6"/>
        <v>29846.328242192827</v>
      </c>
      <c r="N14" s="19"/>
      <c r="O14" s="35">
        <f t="shared" si="7"/>
        <v>0</v>
      </c>
      <c r="P14" s="81">
        <v>27</v>
      </c>
      <c r="Q14" s="35">
        <f t="shared" si="1"/>
        <v>386808.41401881899</v>
      </c>
      <c r="R14" s="82"/>
      <c r="S14" s="35">
        <f t="shared" si="8"/>
        <v>0</v>
      </c>
      <c r="T14" s="35"/>
      <c r="U14" s="35">
        <f t="shared" si="9"/>
        <v>0</v>
      </c>
      <c r="V14" s="38"/>
      <c r="W14" s="31">
        <f t="shared" si="12"/>
        <v>0</v>
      </c>
      <c r="X14" s="19"/>
      <c r="Y14" s="31">
        <f t="shared" si="13"/>
        <v>0</v>
      </c>
      <c r="Z14" s="31">
        <f t="shared" si="3"/>
        <v>1346618.5422610119</v>
      </c>
      <c r="AA14" s="57">
        <v>146000</v>
      </c>
      <c r="AB14" s="45"/>
      <c r="AC14" s="75">
        <f>Z14+AA14-AB14</f>
        <v>1492618.5422610119</v>
      </c>
      <c r="AD14" s="92">
        <v>200000</v>
      </c>
      <c r="AE14" s="83">
        <v>0</v>
      </c>
    </row>
    <row r="15" spans="1:46">
      <c r="A15" s="114" t="s">
        <v>39</v>
      </c>
      <c r="B15" s="28">
        <v>1006202963</v>
      </c>
      <c r="C15" s="84" t="s">
        <v>40</v>
      </c>
      <c r="D15" s="143">
        <f>B29+50000</f>
        <v>1800905</v>
      </c>
      <c r="E15" s="30">
        <f t="shared" si="4"/>
        <v>8186.3039229055858</v>
      </c>
      <c r="F15" s="31">
        <f t="shared" si="10"/>
        <v>60030.166666666664</v>
      </c>
      <c r="G15" s="85">
        <v>15</v>
      </c>
      <c r="H15" s="157">
        <f>G15*F15</f>
        <v>900452.5</v>
      </c>
      <c r="I15" s="49">
        <f t="shared" si="5"/>
        <v>124547.49999999999</v>
      </c>
      <c r="J15" s="33"/>
      <c r="K15" s="166">
        <f t="shared" si="11"/>
        <v>70036.2</v>
      </c>
      <c r="L15" s="87">
        <v>10</v>
      </c>
      <c r="M15" s="165">
        <f t="shared" si="6"/>
        <v>102328.79903631982</v>
      </c>
      <c r="N15" s="89"/>
      <c r="O15" s="35">
        <f t="shared" si="7"/>
        <v>0</v>
      </c>
      <c r="P15" s="52">
        <v>27</v>
      </c>
      <c r="Q15" s="35">
        <f>(E15*($Q$4+1)*P15)</f>
        <v>397854.37065321149</v>
      </c>
      <c r="R15" s="90"/>
      <c r="S15" s="35">
        <f t="shared" si="8"/>
        <v>0</v>
      </c>
      <c r="T15" s="88"/>
      <c r="U15" s="35">
        <f t="shared" si="9"/>
        <v>0</v>
      </c>
      <c r="V15" s="87"/>
      <c r="W15" s="60">
        <f t="shared" si="12"/>
        <v>0</v>
      </c>
      <c r="X15" s="89"/>
      <c r="Y15" s="60">
        <f t="shared" si="13"/>
        <v>0</v>
      </c>
      <c r="Z15" s="31">
        <f t="shared" si="3"/>
        <v>1455146.9696895313</v>
      </c>
      <c r="AA15" s="78">
        <v>14000</v>
      </c>
      <c r="AB15" s="45">
        <f>319200+150000</f>
        <v>469200</v>
      </c>
      <c r="AC15" s="75">
        <f>Z15+AA15-AB15</f>
        <v>999946.96968953125</v>
      </c>
      <c r="AD15" s="133">
        <v>319200</v>
      </c>
      <c r="AE15" s="134">
        <v>0</v>
      </c>
      <c r="AF15" s="109">
        <v>150000</v>
      </c>
    </row>
    <row r="16" spans="1:46" s="147" customFormat="1">
      <c r="A16" s="146"/>
      <c r="B16" s="28"/>
      <c r="C16" s="79"/>
      <c r="D16" s="143"/>
      <c r="E16" s="30">
        <f t="shared" si="4"/>
        <v>0</v>
      </c>
      <c r="F16" s="31"/>
      <c r="G16" s="85"/>
      <c r="H16" s="155">
        <f>SUM(H5:H15)-H10</f>
        <v>10005815</v>
      </c>
      <c r="I16" s="166"/>
      <c r="J16" s="51"/>
      <c r="K16" s="51"/>
      <c r="L16" s="87"/>
      <c r="M16" s="165">
        <f t="shared" si="6"/>
        <v>0</v>
      </c>
      <c r="N16" s="89"/>
      <c r="O16" s="35">
        <f t="shared" si="7"/>
        <v>0</v>
      </c>
      <c r="P16" s="37"/>
      <c r="Q16" s="101">
        <f>SUM(Q5:Q15)</f>
        <v>1884636.8198554479</v>
      </c>
      <c r="R16" s="90"/>
      <c r="S16" s="35">
        <f t="shared" si="8"/>
        <v>0</v>
      </c>
      <c r="T16" s="88"/>
      <c r="U16" s="35">
        <f t="shared" si="9"/>
        <v>0</v>
      </c>
      <c r="V16" s="87"/>
      <c r="W16" s="60"/>
      <c r="X16" s="89"/>
      <c r="Y16" s="60"/>
      <c r="Z16" s="31"/>
      <c r="AA16" s="91"/>
      <c r="AB16" s="45"/>
      <c r="AC16" s="176">
        <f>SUM(AC5:AC15)-AC10</f>
        <v>11909759.58309014</v>
      </c>
      <c r="AD16" s="133"/>
      <c r="AE16" s="134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</row>
    <row r="17" spans="1:46" s="147" customFormat="1">
      <c r="A17" s="146"/>
      <c r="B17" s="28"/>
      <c r="C17" s="79"/>
      <c r="D17" s="143"/>
      <c r="E17" s="30">
        <f t="shared" si="4"/>
        <v>0</v>
      </c>
      <c r="F17" s="31"/>
      <c r="G17" s="85"/>
      <c r="H17" s="151"/>
      <c r="I17" s="51"/>
      <c r="J17" s="51"/>
      <c r="K17" s="51"/>
      <c r="L17" s="87"/>
      <c r="M17" s="165">
        <f t="shared" si="6"/>
        <v>0</v>
      </c>
      <c r="N17" s="89"/>
      <c r="O17" s="35">
        <f t="shared" si="7"/>
        <v>0</v>
      </c>
      <c r="P17" s="37"/>
      <c r="Q17" s="35">
        <f t="shared" ref="Q17" si="14">(E17*($Q$4)*P17)</f>
        <v>0</v>
      </c>
      <c r="R17" s="90"/>
      <c r="S17" s="35">
        <f t="shared" si="8"/>
        <v>0</v>
      </c>
      <c r="T17" s="88"/>
      <c r="U17" s="35">
        <f t="shared" si="9"/>
        <v>0</v>
      </c>
      <c r="V17" s="87"/>
      <c r="W17" s="60"/>
      <c r="X17" s="89"/>
      <c r="Y17" s="60"/>
      <c r="Z17" s="31"/>
      <c r="AA17" s="91"/>
      <c r="AB17" s="45"/>
      <c r="AC17" s="53"/>
      <c r="AD17" s="133"/>
      <c r="AE17" s="134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</row>
    <row r="18" spans="1:46">
      <c r="A18" s="117" t="s">
        <v>43</v>
      </c>
      <c r="B18" s="28">
        <v>1116242414</v>
      </c>
      <c r="C18" s="79">
        <v>186736849</v>
      </c>
      <c r="D18" s="138">
        <f>(1800000*10%)+1800000</f>
        <v>1980000</v>
      </c>
      <c r="E18" s="30">
        <f t="shared" si="4"/>
        <v>9000.4091095049771</v>
      </c>
      <c r="F18" s="31">
        <f t="shared" si="10"/>
        <v>66000</v>
      </c>
      <c r="G18" s="85">
        <v>15</v>
      </c>
      <c r="H18" s="44">
        <f>G18*F18</f>
        <v>990000</v>
      </c>
      <c r="I18" s="49">
        <f t="shared" si="5"/>
        <v>124547.49999999999</v>
      </c>
      <c r="J18" s="86"/>
      <c r="K18" s="51">
        <f t="shared" ref="K18:K25" si="15">((($B$29/2)*8%)/15)*G18</f>
        <v>70036.2</v>
      </c>
      <c r="L18" s="87">
        <v>5</v>
      </c>
      <c r="M18" s="165">
        <f t="shared" si="6"/>
        <v>56252.556934406108</v>
      </c>
      <c r="N18" s="89"/>
      <c r="O18" s="35">
        <f t="shared" si="7"/>
        <v>0</v>
      </c>
      <c r="P18" s="52"/>
      <c r="Q18" s="35">
        <f t="shared" ref="Q18:Q25" si="16">(E18*($Q$4+1)*P18)</f>
        <v>0</v>
      </c>
      <c r="R18" s="90"/>
      <c r="S18" s="35">
        <f t="shared" si="8"/>
        <v>0</v>
      </c>
      <c r="T18" s="88"/>
      <c r="U18" s="35">
        <f t="shared" si="9"/>
        <v>0</v>
      </c>
      <c r="V18" s="87"/>
      <c r="W18" s="60">
        <f t="shared" si="12"/>
        <v>0</v>
      </c>
      <c r="X18" s="89"/>
      <c r="Y18" s="60">
        <f t="shared" si="13"/>
        <v>0</v>
      </c>
      <c r="Z18" s="31">
        <f t="shared" si="3"/>
        <v>1100763.8569344061</v>
      </c>
      <c r="AA18" s="91"/>
      <c r="AB18" s="45"/>
      <c r="AC18" s="182">
        <f>Z18+AA18-AB18</f>
        <v>1100763.8569344061</v>
      </c>
      <c r="AD18" s="41">
        <v>0</v>
      </c>
      <c r="AE18" s="47"/>
    </row>
    <row r="19" spans="1:46" ht="25.5">
      <c r="A19" s="117" t="s">
        <v>44</v>
      </c>
      <c r="B19" s="28">
        <v>1018502331</v>
      </c>
      <c r="C19" s="19">
        <v>484605035</v>
      </c>
      <c r="D19" s="138">
        <f>(1800000*10%)+1800000</f>
        <v>1980000</v>
      </c>
      <c r="E19" s="30">
        <f t="shared" si="4"/>
        <v>9000.4091095049771</v>
      </c>
      <c r="F19" s="31">
        <f t="shared" si="10"/>
        <v>66000</v>
      </c>
      <c r="G19" s="85">
        <v>15</v>
      </c>
      <c r="H19" s="44">
        <f>G19*F19</f>
        <v>990000</v>
      </c>
      <c r="I19" s="49">
        <f t="shared" si="5"/>
        <v>124547.49999999999</v>
      </c>
      <c r="J19" s="86"/>
      <c r="K19" s="51">
        <f t="shared" si="15"/>
        <v>70036.2</v>
      </c>
      <c r="L19" s="87">
        <v>26</v>
      </c>
      <c r="M19" s="165">
        <f t="shared" si="6"/>
        <v>292513.29605891177</v>
      </c>
      <c r="N19" s="89"/>
      <c r="O19" s="35">
        <f t="shared" si="7"/>
        <v>0</v>
      </c>
      <c r="P19" s="52">
        <v>6</v>
      </c>
      <c r="Q19" s="35">
        <f t="shared" si="16"/>
        <v>97204.418382653763</v>
      </c>
      <c r="R19" s="90"/>
      <c r="S19" s="35">
        <f t="shared" si="8"/>
        <v>0</v>
      </c>
      <c r="T19" s="88"/>
      <c r="U19" s="35">
        <f t="shared" si="9"/>
        <v>0</v>
      </c>
      <c r="V19" s="87"/>
      <c r="W19" s="60">
        <f t="shared" si="12"/>
        <v>0</v>
      </c>
      <c r="X19" s="89"/>
      <c r="Y19" s="60">
        <f t="shared" si="13"/>
        <v>0</v>
      </c>
      <c r="Z19" s="31">
        <f>H19+I19+J19+M19+O19+S19+U19+W19+Y19-K19+Q19</f>
        <v>1434229.0144415656</v>
      </c>
      <c r="AA19" s="91">
        <v>52950</v>
      </c>
      <c r="AB19" s="45">
        <v>250000</v>
      </c>
      <c r="AC19" s="53">
        <f>Z19+AA19-AB19</f>
        <v>1237179.0144415656</v>
      </c>
      <c r="AD19" s="92">
        <v>200000</v>
      </c>
      <c r="AE19" s="180"/>
      <c r="AF19" s="186" t="s">
        <v>69</v>
      </c>
    </row>
    <row r="20" spans="1:46">
      <c r="A20" s="116" t="s">
        <v>45</v>
      </c>
      <c r="B20" s="28">
        <v>16501191</v>
      </c>
      <c r="C20" s="93" t="s">
        <v>46</v>
      </c>
      <c r="D20" s="144">
        <f>B29</f>
        <v>1750905</v>
      </c>
      <c r="E20" s="30">
        <f t="shared" si="4"/>
        <v>7959.0208645847533</v>
      </c>
      <c r="F20" s="31">
        <f t="shared" si="10"/>
        <v>58363.5</v>
      </c>
      <c r="G20" s="85">
        <v>15</v>
      </c>
      <c r="H20" s="44">
        <f t="shared" ref="H20:H25" si="17">G20*F20</f>
        <v>875452.5</v>
      </c>
      <c r="I20" s="49">
        <f t="shared" si="5"/>
        <v>124547.49999999999</v>
      </c>
      <c r="J20" s="94"/>
      <c r="K20" s="51">
        <f t="shared" si="15"/>
        <v>70036.2</v>
      </c>
      <c r="L20" s="87">
        <v>14</v>
      </c>
      <c r="M20" s="165">
        <f t="shared" si="6"/>
        <v>139282.8651302332</v>
      </c>
      <c r="N20" s="89"/>
      <c r="O20" s="35">
        <f t="shared" si="7"/>
        <v>0</v>
      </c>
      <c r="P20" s="52">
        <v>16</v>
      </c>
      <c r="Q20" s="35">
        <f t="shared" si="16"/>
        <v>229219.80090004089</v>
      </c>
      <c r="R20" s="90"/>
      <c r="S20" s="35">
        <f t="shared" si="8"/>
        <v>0</v>
      </c>
      <c r="T20" s="88"/>
      <c r="U20" s="35">
        <f t="shared" si="9"/>
        <v>0</v>
      </c>
      <c r="V20" s="87"/>
      <c r="W20" s="60">
        <f t="shared" si="12"/>
        <v>0</v>
      </c>
      <c r="X20" s="89"/>
      <c r="Y20" s="60">
        <f t="shared" si="13"/>
        <v>0</v>
      </c>
      <c r="Z20" s="31">
        <f t="shared" si="3"/>
        <v>1298466.4660302741</v>
      </c>
      <c r="AA20" s="91"/>
      <c r="AB20" s="45"/>
      <c r="AC20" s="182">
        <f>Z20+AA20-AB20</f>
        <v>1298466.4660302741</v>
      </c>
      <c r="AD20" s="92">
        <v>0</v>
      </c>
      <c r="AE20" s="47"/>
    </row>
    <row r="21" spans="1:46">
      <c r="A21" s="116" t="s">
        <v>47</v>
      </c>
      <c r="B21" s="28">
        <v>16505237</v>
      </c>
      <c r="C21" s="19">
        <v>186817573</v>
      </c>
      <c r="D21" s="144">
        <f>B29</f>
        <v>1750905</v>
      </c>
      <c r="E21" s="30">
        <f t="shared" si="4"/>
        <v>7959.0208645847533</v>
      </c>
      <c r="F21" s="31">
        <f t="shared" si="10"/>
        <v>58363.5</v>
      </c>
      <c r="G21" s="85">
        <v>15</v>
      </c>
      <c r="H21" s="44">
        <f t="shared" si="17"/>
        <v>875452.5</v>
      </c>
      <c r="I21" s="49">
        <f t="shared" si="5"/>
        <v>124547.49999999999</v>
      </c>
      <c r="J21" s="86"/>
      <c r="K21" s="51">
        <f t="shared" si="15"/>
        <v>70036.2</v>
      </c>
      <c r="L21" s="87">
        <v>14</v>
      </c>
      <c r="M21" s="165">
        <f t="shared" si="6"/>
        <v>139282.8651302332</v>
      </c>
      <c r="N21" s="89"/>
      <c r="O21" s="35">
        <f t="shared" si="7"/>
        <v>0</v>
      </c>
      <c r="P21" s="52">
        <v>20</v>
      </c>
      <c r="Q21" s="35">
        <f t="shared" si="16"/>
        <v>286524.75112505112</v>
      </c>
      <c r="R21" s="90"/>
      <c r="S21" s="35">
        <f t="shared" si="8"/>
        <v>0</v>
      </c>
      <c r="T21" s="88"/>
      <c r="U21" s="35">
        <f t="shared" si="9"/>
        <v>0</v>
      </c>
      <c r="V21" s="87"/>
      <c r="W21" s="60">
        <f t="shared" si="12"/>
        <v>0</v>
      </c>
      <c r="X21" s="89"/>
      <c r="Y21" s="60">
        <f t="shared" si="13"/>
        <v>0</v>
      </c>
      <c r="Z21" s="31">
        <f>H21+I21+J21+M21+O21+S21+U21+W21+Y21-K21+Q21</f>
        <v>1355771.4162552843</v>
      </c>
      <c r="AA21" s="91"/>
      <c r="AB21" s="45"/>
      <c r="AC21" s="182">
        <f>Z21+AA21-AB21</f>
        <v>1355771.4162552843</v>
      </c>
      <c r="AD21" s="92">
        <v>0</v>
      </c>
      <c r="AE21" s="47"/>
    </row>
    <row r="22" spans="1:46">
      <c r="A22" s="120" t="s">
        <v>48</v>
      </c>
      <c r="B22" s="28">
        <v>1111747391</v>
      </c>
      <c r="C22" s="19">
        <v>186817581</v>
      </c>
      <c r="D22" s="144">
        <f>(B29*C30)+B29</f>
        <v>1840201.155</v>
      </c>
      <c r="E22" s="30">
        <f t="shared" si="4"/>
        <v>8364.9309286785756</v>
      </c>
      <c r="F22" s="31">
        <f t="shared" si="10"/>
        <v>61340.038500000002</v>
      </c>
      <c r="G22" s="85">
        <v>14</v>
      </c>
      <c r="H22" s="44">
        <f>G22*F22</f>
        <v>858760.53899999999</v>
      </c>
      <c r="I22" s="49">
        <f t="shared" si="5"/>
        <v>116244.33333333333</v>
      </c>
      <c r="J22" s="86"/>
      <c r="K22" s="51">
        <f t="shared" si="15"/>
        <v>65367.119999999995</v>
      </c>
      <c r="L22" s="87">
        <v>5</v>
      </c>
      <c r="M22" s="165">
        <f t="shared" si="6"/>
        <v>52280.818304241096</v>
      </c>
      <c r="N22" s="89"/>
      <c r="O22" s="35">
        <f t="shared" si="7"/>
        <v>0</v>
      </c>
      <c r="P22" s="52"/>
      <c r="Q22" s="35">
        <f t="shared" si="16"/>
        <v>0</v>
      </c>
      <c r="R22" s="90"/>
      <c r="S22" s="35">
        <f t="shared" si="8"/>
        <v>0</v>
      </c>
      <c r="T22" s="88"/>
      <c r="U22" s="35">
        <f t="shared" si="9"/>
        <v>0</v>
      </c>
      <c r="V22" s="87"/>
      <c r="W22" s="60">
        <f t="shared" si="12"/>
        <v>0</v>
      </c>
      <c r="X22" s="89"/>
      <c r="Y22" s="60">
        <f t="shared" si="13"/>
        <v>0</v>
      </c>
      <c r="Z22" s="31">
        <f t="shared" si="3"/>
        <v>961918.57063757442</v>
      </c>
      <c r="AA22" s="91"/>
      <c r="AB22" s="45"/>
      <c r="AC22" s="182">
        <f>Z22+AA22-AB22</f>
        <v>961918.57063757442</v>
      </c>
      <c r="AD22" s="92">
        <v>0</v>
      </c>
      <c r="AE22" s="47"/>
    </row>
    <row r="23" spans="1:46">
      <c r="A23" s="116" t="s">
        <v>49</v>
      </c>
      <c r="B23" s="28">
        <v>1006188943</v>
      </c>
      <c r="C23" s="69">
        <v>186817607</v>
      </c>
      <c r="D23" s="142">
        <f>B29</f>
        <v>1750905</v>
      </c>
      <c r="E23" s="30">
        <f t="shared" si="4"/>
        <v>7959.0208645847533</v>
      </c>
      <c r="F23" s="31">
        <f t="shared" si="10"/>
        <v>58363.5</v>
      </c>
      <c r="G23" s="85">
        <v>15</v>
      </c>
      <c r="H23" s="44">
        <f t="shared" si="17"/>
        <v>875452.5</v>
      </c>
      <c r="I23" s="49">
        <f t="shared" si="5"/>
        <v>124547.49999999999</v>
      </c>
      <c r="J23" s="86"/>
      <c r="K23" s="51">
        <f t="shared" si="15"/>
        <v>70036.2</v>
      </c>
      <c r="L23" s="87">
        <v>8</v>
      </c>
      <c r="M23" s="165">
        <f t="shared" si="6"/>
        <v>79590.208645847539</v>
      </c>
      <c r="N23" s="89"/>
      <c r="O23" s="35">
        <f t="shared" si="7"/>
        <v>0</v>
      </c>
      <c r="P23" s="52"/>
      <c r="Q23" s="35">
        <f t="shared" si="16"/>
        <v>0</v>
      </c>
      <c r="R23" s="90"/>
      <c r="S23" s="35">
        <f t="shared" si="8"/>
        <v>0</v>
      </c>
      <c r="T23" s="88"/>
      <c r="U23" s="35">
        <f t="shared" si="9"/>
        <v>0</v>
      </c>
      <c r="V23" s="87"/>
      <c r="W23" s="60">
        <f t="shared" si="12"/>
        <v>0</v>
      </c>
      <c r="X23" s="89"/>
      <c r="Y23" s="60">
        <f t="shared" si="13"/>
        <v>0</v>
      </c>
      <c r="Z23" s="31">
        <f t="shared" si="3"/>
        <v>1009554.0086458477</v>
      </c>
      <c r="AA23" s="91"/>
      <c r="AB23" s="45"/>
      <c r="AC23" s="182">
        <f>Z23+AA23-AB23</f>
        <v>1009554.0086458477</v>
      </c>
      <c r="AD23" s="92">
        <v>0</v>
      </c>
      <c r="AE23" s="47"/>
      <c r="AG23" s="76"/>
    </row>
    <row r="24" spans="1:46">
      <c r="A24" s="116" t="s">
        <v>50</v>
      </c>
      <c r="B24" s="95">
        <v>1006203947</v>
      </c>
      <c r="C24" s="19">
        <v>186821369</v>
      </c>
      <c r="D24" s="145">
        <f>B29</f>
        <v>1750905</v>
      </c>
      <c r="E24" s="30">
        <f t="shared" si="4"/>
        <v>7959.0208645847533</v>
      </c>
      <c r="F24" s="31">
        <f t="shared" si="10"/>
        <v>58363.5</v>
      </c>
      <c r="G24" s="85">
        <v>15</v>
      </c>
      <c r="H24" s="44">
        <f t="shared" si="17"/>
        <v>875452.5</v>
      </c>
      <c r="I24" s="49">
        <f t="shared" si="5"/>
        <v>124547.49999999999</v>
      </c>
      <c r="J24" s="86"/>
      <c r="K24" s="51">
        <f t="shared" si="15"/>
        <v>70036.2</v>
      </c>
      <c r="L24" s="87">
        <v>10</v>
      </c>
      <c r="M24" s="165">
        <f t="shared" si="6"/>
        <v>99487.760807309416</v>
      </c>
      <c r="N24" s="89"/>
      <c r="O24" s="35">
        <f t="shared" si="7"/>
        <v>0</v>
      </c>
      <c r="P24" s="52"/>
      <c r="Q24" s="35">
        <f t="shared" si="16"/>
        <v>0</v>
      </c>
      <c r="R24" s="90"/>
      <c r="S24" s="35">
        <f t="shared" si="8"/>
        <v>0</v>
      </c>
      <c r="T24" s="88"/>
      <c r="U24" s="35">
        <f t="shared" si="9"/>
        <v>0</v>
      </c>
      <c r="V24" s="87"/>
      <c r="W24" s="60">
        <f t="shared" si="12"/>
        <v>0</v>
      </c>
      <c r="X24" s="89"/>
      <c r="Y24" s="60">
        <f t="shared" si="13"/>
        <v>0</v>
      </c>
      <c r="Z24" s="31">
        <f t="shared" si="3"/>
        <v>1029451.5608073093</v>
      </c>
      <c r="AA24" s="91"/>
      <c r="AB24" s="45"/>
      <c r="AC24" s="182">
        <f>Z24+AA24-AB24</f>
        <v>1029451.5608073093</v>
      </c>
      <c r="AD24" s="92">
        <v>0</v>
      </c>
      <c r="AE24" s="47"/>
      <c r="AG24" s="76"/>
    </row>
    <row r="25" spans="1:46">
      <c r="A25" s="119" t="s">
        <v>51</v>
      </c>
      <c r="B25" s="95">
        <v>1111814116</v>
      </c>
      <c r="C25" s="19">
        <v>186821385</v>
      </c>
      <c r="D25" s="143">
        <f>(2000000*C30)+2000000</f>
        <v>2102000</v>
      </c>
      <c r="E25" s="30">
        <f t="shared" si="4"/>
        <v>9554.9797718078098</v>
      </c>
      <c r="F25" s="131">
        <f t="shared" si="10"/>
        <v>70066.666666666672</v>
      </c>
      <c r="G25" s="85">
        <v>15</v>
      </c>
      <c r="H25" s="157">
        <f t="shared" si="17"/>
        <v>1051000</v>
      </c>
      <c r="I25" s="171">
        <f t="shared" si="5"/>
        <v>124547.49999999999</v>
      </c>
      <c r="J25" s="172"/>
      <c r="K25" s="51">
        <f t="shared" si="15"/>
        <v>70036.2</v>
      </c>
      <c r="L25" s="87">
        <v>14</v>
      </c>
      <c r="M25" s="165">
        <f t="shared" si="6"/>
        <v>167212.14600663667</v>
      </c>
      <c r="N25" s="89"/>
      <c r="O25" s="35">
        <f t="shared" si="7"/>
        <v>0</v>
      </c>
      <c r="P25" s="52"/>
      <c r="Q25" s="35">
        <f t="shared" si="16"/>
        <v>0</v>
      </c>
      <c r="R25" s="90"/>
      <c r="S25" s="35">
        <f t="shared" si="8"/>
        <v>0</v>
      </c>
      <c r="T25" s="88"/>
      <c r="U25" s="35">
        <f t="shared" si="9"/>
        <v>0</v>
      </c>
      <c r="V25" s="87"/>
      <c r="W25" s="60">
        <f t="shared" si="12"/>
        <v>0</v>
      </c>
      <c r="X25" s="89"/>
      <c r="Y25" s="60">
        <f t="shared" si="13"/>
        <v>0</v>
      </c>
      <c r="Z25" s="31">
        <f t="shared" si="3"/>
        <v>1272723.4460066368</v>
      </c>
      <c r="AA25" s="91"/>
      <c r="AB25" s="45"/>
      <c r="AC25" s="182">
        <f>Z25+AA25-AB25</f>
        <v>1272723.4460066368</v>
      </c>
      <c r="AD25" s="92">
        <v>0</v>
      </c>
      <c r="AE25" s="47"/>
      <c r="AG25" s="76"/>
    </row>
    <row r="26" spans="1:46" s="147" customFormat="1">
      <c r="A26" s="146"/>
      <c r="B26" s="95"/>
      <c r="C26" s="19"/>
      <c r="D26" s="148"/>
      <c r="E26" s="149"/>
      <c r="F26" s="94"/>
      <c r="G26" s="85"/>
      <c r="H26" s="168">
        <f>SUM(H18:H25)</f>
        <v>7391570.5389999999</v>
      </c>
      <c r="I26" s="31"/>
      <c r="J26" s="31"/>
      <c r="K26" s="166"/>
      <c r="L26" s="87"/>
      <c r="M26" s="35">
        <f t="shared" ref="M26:M43" si="18">(E26*($M$4)*L26)</f>
        <v>0</v>
      </c>
      <c r="N26" s="89"/>
      <c r="O26" s="35">
        <f t="shared" si="7"/>
        <v>0</v>
      </c>
      <c r="P26" s="152"/>
      <c r="Q26" s="153">
        <f>SUM(Q18:Q25)</f>
        <v>612948.9704077458</v>
      </c>
      <c r="R26" s="90"/>
      <c r="S26" s="88"/>
      <c r="T26" s="88"/>
      <c r="U26" s="88"/>
      <c r="V26" s="87"/>
      <c r="W26" s="60"/>
      <c r="X26" s="89"/>
      <c r="Y26" s="60"/>
      <c r="Z26" s="31"/>
      <c r="AA26" s="91"/>
      <c r="AB26" s="45"/>
      <c r="AC26" s="176">
        <f>SUM(AC18:AC25)</f>
        <v>9265828.3397588972</v>
      </c>
      <c r="AD26" s="92"/>
      <c r="AE26" s="47"/>
      <c r="AG26" s="154"/>
    </row>
    <row r="27" spans="1:46">
      <c r="A27" s="20" t="s">
        <v>52</v>
      </c>
      <c r="B27" s="96"/>
      <c r="C27" s="47"/>
      <c r="D27" s="126"/>
      <c r="E27" s="132">
        <f>SUM(E5:E15)</f>
        <v>107071.04072912404</v>
      </c>
      <c r="F27" s="97">
        <f>SUM(F5:F25)</f>
        <v>1300471.8718333333</v>
      </c>
      <c r="G27" s="98"/>
      <c r="H27" s="169"/>
      <c r="I27" s="100">
        <f>SUM(I5:I15)</f>
        <v>996379.99999999988</v>
      </c>
      <c r="J27" s="100">
        <f>SUM(J5:J25)</f>
        <v>0</v>
      </c>
      <c r="K27" s="170">
        <f>SUM(K5:K15)</f>
        <v>560289.6</v>
      </c>
      <c r="L27" s="20"/>
      <c r="M27" s="100">
        <f>SUM(M18:M26)</f>
        <v>1025902.517017819</v>
      </c>
      <c r="N27" s="20"/>
      <c r="O27" s="100">
        <f>SUM(O5:O15)</f>
        <v>0</v>
      </c>
      <c r="P27" s="99"/>
      <c r="Q27" s="99">
        <f>Q16+Q26</f>
        <v>2497585.7902631937</v>
      </c>
      <c r="R27" s="20"/>
      <c r="S27" s="101">
        <f>SUM(S5:S15)</f>
        <v>0</v>
      </c>
      <c r="T27" s="35"/>
      <c r="U27" s="101">
        <f>SUM(U5:U15)</f>
        <v>0</v>
      </c>
      <c r="V27" s="20"/>
      <c r="W27" s="100">
        <f>SUM(W5:W15)</f>
        <v>0</v>
      </c>
      <c r="X27" s="20"/>
      <c r="Y27" s="100">
        <f>SUM(Y5:Y15)</f>
        <v>0</v>
      </c>
      <c r="Z27" s="102">
        <f>SUM(Z5:Z25)</f>
        <v>23621524.222849037</v>
      </c>
      <c r="AA27" s="103">
        <f>SUM(AA5:AA15)</f>
        <v>752825</v>
      </c>
      <c r="AB27" s="103">
        <f>SUM(AB5:AB15)</f>
        <v>1447200</v>
      </c>
      <c r="AC27" s="104">
        <f>AC16+AC26</f>
        <v>21175587.922849037</v>
      </c>
      <c r="AD27" s="58"/>
      <c r="AE27" s="105"/>
    </row>
    <row r="28" spans="1:46" ht="15">
      <c r="A28" s="247" t="s">
        <v>54</v>
      </c>
      <c r="B28" s="247"/>
      <c r="C28" s="247"/>
      <c r="D28" s="247"/>
      <c r="E28" s="247"/>
      <c r="F28" s="247"/>
      <c r="G28" s="247"/>
      <c r="H28" s="247"/>
      <c r="I28" s="247"/>
      <c r="AC28" s="154"/>
    </row>
    <row r="29" spans="1:46" ht="15">
      <c r="A29" s="21" t="s">
        <v>55</v>
      </c>
      <c r="B29" s="22">
        <v>1750905</v>
      </c>
      <c r="C29" s="135" t="s">
        <v>56</v>
      </c>
      <c r="D29" s="16"/>
      <c r="E29" s="16"/>
      <c r="F29" s="16"/>
      <c r="G29" s="16"/>
      <c r="H29" s="16"/>
      <c r="I29" s="16"/>
      <c r="AC29" s="154">
        <f>AC5+AC8+AC14+AC15+AC19</f>
        <v>6376096.844733852</v>
      </c>
      <c r="AD29" s="185" t="s">
        <v>70</v>
      </c>
    </row>
    <row r="30" spans="1:46" ht="15">
      <c r="A30" s="23" t="s">
        <v>57</v>
      </c>
      <c r="B30" s="24">
        <v>249095</v>
      </c>
      <c r="C30" s="136">
        <v>5.0999999999999997E-2</v>
      </c>
      <c r="D30" s="16"/>
      <c r="E30" s="16"/>
      <c r="F30" s="16"/>
      <c r="G30" s="16"/>
      <c r="H30" s="16"/>
      <c r="I30" s="16"/>
      <c r="AC30" s="154"/>
      <c r="AE30" s="106"/>
    </row>
    <row r="31" spans="1:46" ht="15">
      <c r="A31" s="16"/>
      <c r="B31" s="16"/>
      <c r="C31" s="16"/>
      <c r="D31" s="16"/>
      <c r="E31" s="16"/>
      <c r="F31" s="16"/>
      <c r="G31" s="16"/>
      <c r="H31" s="16"/>
      <c r="I31" s="16"/>
      <c r="AC31" s="183"/>
      <c r="AE31" s="106"/>
    </row>
    <row r="32" spans="1:46" ht="29.25">
      <c r="A32" s="125" t="s">
        <v>58</v>
      </c>
      <c r="B32" s="16"/>
      <c r="C32" s="16"/>
      <c r="D32" s="16"/>
      <c r="E32" s="16"/>
      <c r="F32" s="16"/>
      <c r="G32" s="16"/>
      <c r="H32" s="16"/>
      <c r="I32" s="16"/>
      <c r="AC32" s="154"/>
      <c r="AE32" s="106"/>
      <c r="AG32" s="107"/>
    </row>
    <row r="33" spans="1:31" ht="15">
      <c r="A33" s="245" t="s">
        <v>59</v>
      </c>
      <c r="B33" s="16"/>
      <c r="C33" s="16"/>
      <c r="D33" s="16"/>
      <c r="E33" s="16"/>
      <c r="F33" s="16"/>
      <c r="G33" s="16"/>
      <c r="H33" s="16"/>
      <c r="I33" s="16"/>
      <c r="M33" s="249" t="s">
        <v>60</v>
      </c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AC33" s="147"/>
      <c r="AE33" s="106"/>
    </row>
    <row r="34" spans="1:31" ht="15">
      <c r="A34" s="245"/>
      <c r="B34" s="16"/>
      <c r="C34" s="16"/>
      <c r="D34" s="16"/>
      <c r="E34" s="16"/>
      <c r="F34" s="16"/>
      <c r="G34" s="16"/>
      <c r="H34" s="16"/>
      <c r="I34" s="16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AC34" s="147"/>
      <c r="AE34" s="106"/>
    </row>
    <row r="35" spans="1:31">
      <c r="F35" s="108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AC35" s="147"/>
      <c r="AE35" s="106"/>
    </row>
    <row r="36" spans="1:31">
      <c r="M36" s="250" t="s">
        <v>61</v>
      </c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AE36" s="106"/>
    </row>
    <row r="37" spans="1:31">
      <c r="J37" s="109"/>
      <c r="AE37" s="106"/>
    </row>
    <row r="38" spans="1:31">
      <c r="F38" s="108"/>
      <c r="J38" s="109"/>
      <c r="AE38" s="106"/>
    </row>
    <row r="39" spans="1:31">
      <c r="J39" s="109"/>
      <c r="AE39" s="106"/>
    </row>
    <row r="40" spans="1:31" ht="43.5" customHeight="1">
      <c r="D40" s="248" t="s">
        <v>62</v>
      </c>
      <c r="E40" s="248"/>
      <c r="F40" s="248"/>
      <c r="G40" s="26">
        <v>8</v>
      </c>
      <c r="AE40" s="106"/>
    </row>
    <row r="41" spans="1:31">
      <c r="J41" s="109"/>
      <c r="AE41" s="106"/>
    </row>
  </sheetData>
  <mergeCells count="10">
    <mergeCell ref="AD3:AE3"/>
    <mergeCell ref="AC12:AC13"/>
    <mergeCell ref="A28:I28"/>
    <mergeCell ref="A33:A34"/>
    <mergeCell ref="M33:Y35"/>
    <mergeCell ref="M36:Y36"/>
    <mergeCell ref="D40:F40"/>
    <mergeCell ref="A1:AC1"/>
    <mergeCell ref="A2:AC2"/>
    <mergeCell ref="A3:AC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E8FA-202B-45B0-9772-69EF1107ECFC}">
  <dimension ref="A1:AT40"/>
  <sheetViews>
    <sheetView workbookViewId="0">
      <pane xSplit="3" topLeftCell="J1" activePane="topRight" state="frozen"/>
      <selection pane="topRight" activeCell="K7" sqref="K7"/>
    </sheetView>
  </sheetViews>
  <sheetFormatPr defaultRowHeight="13.5"/>
  <cols>
    <col min="1" max="1" width="48.7109375" style="26" customWidth="1"/>
    <col min="2" max="2" width="12.140625" style="26" bestFit="1" customWidth="1"/>
    <col min="3" max="3" width="17.5703125" style="26" customWidth="1"/>
    <col min="4" max="4" width="15.7109375" style="26" customWidth="1"/>
    <col min="5" max="5" width="11" style="26" customWidth="1"/>
    <col min="6" max="6" width="13.28515625" style="26" customWidth="1"/>
    <col min="7" max="7" width="12.28515625" style="26" customWidth="1"/>
    <col min="8" max="8" width="12.7109375" style="26" customWidth="1"/>
    <col min="9" max="9" width="12.28515625" style="26" customWidth="1"/>
    <col min="10" max="10" width="26.28515625" style="26" bestFit="1" customWidth="1"/>
    <col min="11" max="11" width="15.28515625" style="26" customWidth="1"/>
    <col min="12" max="12" width="9.140625" style="26"/>
    <col min="13" max="13" width="12.42578125" style="26" customWidth="1"/>
    <col min="14" max="16" width="9.140625" style="26"/>
    <col min="17" max="17" width="12.140625" style="26" customWidth="1"/>
    <col min="18" max="24" width="9.140625" style="26"/>
    <col min="25" max="25" width="10.85546875" style="26" customWidth="1"/>
    <col min="26" max="26" width="13.5703125" style="26" bestFit="1" customWidth="1"/>
    <col min="27" max="27" width="16.5703125" style="26" customWidth="1"/>
    <col min="28" max="28" width="14.85546875" style="26" customWidth="1"/>
    <col min="29" max="29" width="14.42578125" style="26" customWidth="1"/>
    <col min="30" max="30" width="18.28515625" style="26" customWidth="1"/>
    <col min="31" max="31" width="15.28515625" style="26" customWidth="1"/>
    <col min="32" max="32" width="17.42578125" style="26" customWidth="1"/>
    <col min="33" max="33" width="11.5703125" style="26" bestFit="1" customWidth="1"/>
    <col min="34" max="16384" width="9.140625" style="26"/>
  </cols>
  <sheetData>
    <row r="1" spans="1:46" ht="2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"/>
    </row>
    <row r="2" spans="1:46" ht="21">
      <c r="A2" s="252" t="s">
        <v>71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7"/>
    </row>
    <row r="3" spans="1:46" ht="21">
      <c r="A3" s="251" t="s">
        <v>2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46" t="s">
        <v>3</v>
      </c>
      <c r="AE3" s="246"/>
    </row>
    <row r="4" spans="1:46" ht="38.25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4" t="s">
        <v>72</v>
      </c>
      <c r="K4" s="3" t="s">
        <v>65</v>
      </c>
      <c r="L4" s="5" t="s">
        <v>15</v>
      </c>
      <c r="M4" s="6">
        <v>0.25</v>
      </c>
      <c r="N4" s="7" t="s">
        <v>16</v>
      </c>
      <c r="O4" s="8">
        <v>0.75</v>
      </c>
      <c r="P4" s="9" t="s">
        <v>17</v>
      </c>
      <c r="Q4" s="9">
        <v>0.8</v>
      </c>
      <c r="R4" s="10" t="s">
        <v>18</v>
      </c>
      <c r="S4" s="11">
        <v>1</v>
      </c>
      <c r="T4" s="12" t="s">
        <v>19</v>
      </c>
      <c r="U4" s="12">
        <v>1.1000000000000001</v>
      </c>
      <c r="V4" s="5" t="s">
        <v>20</v>
      </c>
      <c r="W4" s="6">
        <v>1.5</v>
      </c>
      <c r="X4" s="4" t="s">
        <v>21</v>
      </c>
      <c r="Y4" s="9">
        <v>0.35</v>
      </c>
      <c r="Z4" s="13" t="s">
        <v>22</v>
      </c>
      <c r="AA4" s="3" t="s">
        <v>23</v>
      </c>
      <c r="AB4" s="14" t="s">
        <v>24</v>
      </c>
      <c r="AC4" s="158" t="s">
        <v>25</v>
      </c>
      <c r="AD4" s="14" t="s">
        <v>26</v>
      </c>
      <c r="AE4" s="15" t="s">
        <v>27</v>
      </c>
    </row>
    <row r="5" spans="1:46">
      <c r="A5" s="17" t="s">
        <v>28</v>
      </c>
      <c r="B5" s="28">
        <v>94558569</v>
      </c>
      <c r="C5" s="29" t="s">
        <v>29</v>
      </c>
      <c r="D5" s="130"/>
      <c r="E5" s="30">
        <f>F5/8</f>
        <v>16605</v>
      </c>
      <c r="F5" s="31">
        <v>132840</v>
      </c>
      <c r="G5" s="32">
        <v>9</v>
      </c>
      <c r="H5" s="44">
        <f>F5*G5</f>
        <v>1195560</v>
      </c>
      <c r="I5" s="31"/>
      <c r="J5" s="33"/>
      <c r="K5" s="51">
        <v>0</v>
      </c>
      <c r="L5" s="34">
        <v>5</v>
      </c>
      <c r="M5" s="35">
        <f>(E5*L5)</f>
        <v>83025</v>
      </c>
      <c r="N5" s="36"/>
      <c r="O5" s="35">
        <f>(E5*($O$4+1)*N5)</f>
        <v>0</v>
      </c>
      <c r="P5" s="37"/>
      <c r="Q5" s="35">
        <f>(E5*($Q$4+1)*P5)</f>
        <v>0</v>
      </c>
      <c r="R5" s="38"/>
      <c r="S5" s="35">
        <f>(E5*($S$4+1)*R5)</f>
        <v>0</v>
      </c>
      <c r="T5" s="35"/>
      <c r="U5" s="35">
        <f t="shared" ref="U5:U6" si="0">(E5*($U$4+1)*T5)</f>
        <v>0</v>
      </c>
      <c r="V5" s="38"/>
      <c r="W5" s="31">
        <f>(E5*($W$4+1)*V5)</f>
        <v>0</v>
      </c>
      <c r="X5" s="38"/>
      <c r="Y5" s="31">
        <f>(E5*($Y$4+1)*X5)</f>
        <v>0</v>
      </c>
      <c r="Z5" s="31">
        <f>H5+I5+J5+M5+O5+S5+U5+W5+Y5-K5+Q5</f>
        <v>1278585</v>
      </c>
      <c r="AA5" s="39">
        <v>30600</v>
      </c>
      <c r="AB5" s="40"/>
      <c r="AC5" s="188">
        <f>Z5+AA5-AB5</f>
        <v>1309185</v>
      </c>
      <c r="AD5" s="41">
        <v>0</v>
      </c>
      <c r="AE5" s="47"/>
      <c r="AF5" s="109">
        <v>1137600</v>
      </c>
      <c r="AG5" s="236">
        <f>AC5-AF5</f>
        <v>171585</v>
      </c>
    </row>
    <row r="6" spans="1:46">
      <c r="A6" s="17" t="s">
        <v>30</v>
      </c>
      <c r="B6" s="28">
        <v>6163973</v>
      </c>
      <c r="C6" s="42">
        <v>142184027</v>
      </c>
      <c r="D6" s="137"/>
      <c r="E6" s="30">
        <f>F6/8</f>
        <v>16605</v>
      </c>
      <c r="F6" s="31">
        <v>132840</v>
      </c>
      <c r="G6" s="43">
        <v>10</v>
      </c>
      <c r="H6" s="44">
        <f>G6*F6</f>
        <v>1328400</v>
      </c>
      <c r="I6" s="31"/>
      <c r="J6" s="33"/>
      <c r="K6" s="51">
        <v>0</v>
      </c>
      <c r="L6" s="38">
        <v>5</v>
      </c>
      <c r="M6" s="35">
        <f>(E6*L6)</f>
        <v>83025</v>
      </c>
      <c r="N6" s="38"/>
      <c r="O6" s="35">
        <f>(E6*($O$4+1)*N6)</f>
        <v>0</v>
      </c>
      <c r="P6" s="37"/>
      <c r="Q6" s="35">
        <f t="shared" ref="Q6:Q13" si="1">(E6*($Q$4+1)*P6)</f>
        <v>0</v>
      </c>
      <c r="R6" s="38"/>
      <c r="S6" s="35">
        <f t="shared" ref="S6" si="2">(E6*($S$4+1)*R6)</f>
        <v>0</v>
      </c>
      <c r="T6" s="35"/>
      <c r="U6" s="35">
        <f t="shared" si="0"/>
        <v>0</v>
      </c>
      <c r="V6" s="38"/>
      <c r="W6" s="31">
        <f>(E6*($W$4+1)*V6)</f>
        <v>0</v>
      </c>
      <c r="X6" s="19"/>
      <c r="Y6" s="31">
        <f>(E6*($Y$4+1)*X6)</f>
        <v>0</v>
      </c>
      <c r="Z6" s="31">
        <f t="shared" ref="Z6:Z24" si="3">H6+I6+J6+M6+O6+S6+U6+W6+Y6-K6+Q6</f>
        <v>1411425</v>
      </c>
      <c r="AA6" s="57">
        <f>161200+7200</f>
        <v>168400</v>
      </c>
      <c r="AB6" s="46"/>
      <c r="AC6" s="191">
        <f>Z6+AA6-AB6</f>
        <v>1579825</v>
      </c>
      <c r="AD6" s="41">
        <v>0</v>
      </c>
      <c r="AE6" s="47"/>
      <c r="AF6" s="109">
        <v>1426763.8</v>
      </c>
      <c r="AG6" s="236">
        <f>AC6-AF6</f>
        <v>153061.19999999995</v>
      </c>
    </row>
    <row r="7" spans="1:46">
      <c r="A7" s="113" t="s">
        <v>31</v>
      </c>
      <c r="B7" s="28">
        <v>1006011966</v>
      </c>
      <c r="C7" s="48">
        <v>164461378</v>
      </c>
      <c r="D7" s="137">
        <f>B28+80000</f>
        <v>1830905</v>
      </c>
      <c r="E7" s="30">
        <f>F7/7.333</f>
        <v>8322.6737578980865</v>
      </c>
      <c r="F7" s="31">
        <f>D7/30</f>
        <v>61030.166666666664</v>
      </c>
      <c r="G7" s="43">
        <v>15</v>
      </c>
      <c r="H7" s="44">
        <f>G7*F7</f>
        <v>915452.5</v>
      </c>
      <c r="I7" s="49">
        <f>(249095/30)*G7</f>
        <v>124547.49999999999</v>
      </c>
      <c r="J7" s="50"/>
      <c r="K7" s="51">
        <f>((($B$28/2)*8%)/15)*G7</f>
        <v>70036.2</v>
      </c>
      <c r="L7" s="38">
        <v>14</v>
      </c>
      <c r="M7" s="173">
        <f>(E7*($M$4+1)*L7)</f>
        <v>145646.7907632165</v>
      </c>
      <c r="N7" s="19"/>
      <c r="O7" s="35">
        <f>(E7*($O$4)*N7)</f>
        <v>0</v>
      </c>
      <c r="P7" s="52"/>
      <c r="Q7" s="35">
        <f t="shared" si="1"/>
        <v>0</v>
      </c>
      <c r="R7" s="38"/>
      <c r="S7" s="35">
        <f>(E7*($S$4)*R7)</f>
        <v>0</v>
      </c>
      <c r="T7" s="35"/>
      <c r="U7" s="35">
        <f>(E7*($U$4)*T7)</f>
        <v>0</v>
      </c>
      <c r="V7" s="38"/>
      <c r="W7" s="31">
        <f>(E7*($W$4)*V7)</f>
        <v>0</v>
      </c>
      <c r="X7" s="19"/>
      <c r="Y7" s="31">
        <f>(E7*($Y$4)*X7)</f>
        <v>0</v>
      </c>
      <c r="Z7" s="31">
        <f>H7+I7+J7+M7+O7+S7+U7+W7+Y7-K7+Q7</f>
        <v>1115610.5907632166</v>
      </c>
      <c r="AA7" s="160">
        <f>695600+58900+7200+7200+7200</f>
        <v>776100</v>
      </c>
      <c r="AB7" s="45"/>
      <c r="AC7" s="191">
        <f>Z7+AA7-AB7</f>
        <v>1891710.5907632166</v>
      </c>
      <c r="AD7" s="41">
        <v>0</v>
      </c>
      <c r="AE7" s="47"/>
    </row>
    <row r="8" spans="1:46">
      <c r="A8" s="113" t="s">
        <v>32</v>
      </c>
      <c r="B8" s="54">
        <v>1006172144</v>
      </c>
      <c r="C8" s="66">
        <v>445515752</v>
      </c>
      <c r="D8" s="138">
        <f>(1800000*10%)+1800000</f>
        <v>1980000</v>
      </c>
      <c r="E8" s="30">
        <f t="shared" ref="E8:E24" si="4">F8/7.333</f>
        <v>9000.4091095049771</v>
      </c>
      <c r="F8" s="31">
        <f>D8/30</f>
        <v>66000</v>
      </c>
      <c r="G8" s="43">
        <v>15</v>
      </c>
      <c r="H8" s="44">
        <f>G8*F8</f>
        <v>990000</v>
      </c>
      <c r="I8" s="49">
        <f t="shared" ref="I8:I24" si="5">(249095/30)*G8</f>
        <v>124547.49999999999</v>
      </c>
      <c r="J8" s="33"/>
      <c r="K8" s="51">
        <f>((($B$28/2)*8%)/15)*G8</f>
        <v>70036.2</v>
      </c>
      <c r="L8" s="38">
        <v>1</v>
      </c>
      <c r="M8" s="173">
        <f>(E8*($M$4+1)*L8)</f>
        <v>11250.511386881222</v>
      </c>
      <c r="N8" s="18">
        <v>1</v>
      </c>
      <c r="O8" s="35"/>
      <c r="P8" s="178">
        <v>1</v>
      </c>
      <c r="Q8" s="179">
        <f t="shared" si="1"/>
        <v>16200.73639710896</v>
      </c>
      <c r="R8" s="56"/>
      <c r="S8" s="35">
        <f t="shared" ref="S8:S24" si="6">(E8*($S$4)*R8)</f>
        <v>0</v>
      </c>
      <c r="T8" s="35"/>
      <c r="U8" s="35">
        <f t="shared" ref="U8:U24" si="7">(E8*($U$4)*T8)</f>
        <v>0</v>
      </c>
      <c r="V8" s="38"/>
      <c r="W8" s="31">
        <f>(E8*($W$4)*V8)</f>
        <v>0</v>
      </c>
      <c r="X8" s="19"/>
      <c r="Y8" s="31">
        <f>(E8*($Y$4)*X8)</f>
        <v>0</v>
      </c>
      <c r="Z8" s="31">
        <f>H8+I8+J8+M8+O8+S8+U8+W8+Y8-K8+Q8</f>
        <v>1071962.5477839902</v>
      </c>
      <c r="AA8" s="57"/>
      <c r="AB8" s="57"/>
      <c r="AC8" s="188">
        <f>Z8+AA8-AB8</f>
        <v>1071962.5477839902</v>
      </c>
      <c r="AD8" s="41">
        <v>0</v>
      </c>
      <c r="AE8" s="58"/>
    </row>
    <row r="9" spans="1:46">
      <c r="A9" s="115" t="s">
        <v>33</v>
      </c>
      <c r="B9" s="128">
        <v>1111538848</v>
      </c>
      <c r="C9" s="127">
        <v>487430761</v>
      </c>
      <c r="D9" s="139">
        <f>B28</f>
        <v>1750905</v>
      </c>
      <c r="E9" s="30">
        <f t="shared" si="4"/>
        <v>7959.0208645847533</v>
      </c>
      <c r="F9" s="31">
        <f t="shared" ref="F9:F24" si="8">D9/30</f>
        <v>58363.5</v>
      </c>
      <c r="G9" s="61">
        <v>1</v>
      </c>
      <c r="H9" s="44">
        <f>G9*F9</f>
        <v>58363.5</v>
      </c>
      <c r="I9" s="49">
        <f t="shared" si="5"/>
        <v>8303.1666666666661</v>
      </c>
      <c r="J9" s="175">
        <f>635871+515030</f>
        <v>1150901</v>
      </c>
      <c r="K9" s="51">
        <f>((($B$28/2)*8%)/15)*G9</f>
        <v>4669.08</v>
      </c>
      <c r="L9" s="38"/>
      <c r="M9" s="173">
        <f t="shared" ref="M9:M24" si="9">(E9*($M$4+1)*L9)</f>
        <v>0</v>
      </c>
      <c r="N9" s="19"/>
      <c r="O9" s="35">
        <f t="shared" ref="O9:O25" si="10">(E9*($O$4)*N9)</f>
        <v>0</v>
      </c>
      <c r="P9" s="52"/>
      <c r="Q9" s="35">
        <f>((E9*Q4)+E9)*P9</f>
        <v>0</v>
      </c>
      <c r="R9" s="56"/>
      <c r="S9" s="35">
        <f t="shared" si="6"/>
        <v>0</v>
      </c>
      <c r="T9" s="35"/>
      <c r="U9" s="35">
        <f t="shared" si="7"/>
        <v>0</v>
      </c>
      <c r="V9" s="38"/>
      <c r="W9" s="31">
        <f>(E9*($W$4)*V9)</f>
        <v>0</v>
      </c>
      <c r="X9" s="19"/>
      <c r="Y9" s="31">
        <f>(E9*($Y$4)*X9)</f>
        <v>0</v>
      </c>
      <c r="Z9" s="31">
        <f>H9+I9+J9+M9+O9+S9+U9+W9+Y9-K9+Q9</f>
        <v>1212898.5866666667</v>
      </c>
      <c r="AA9" s="63"/>
      <c r="AB9" s="64"/>
      <c r="AC9" s="191">
        <f>Z9+AA9-AB9</f>
        <v>1212898.5866666667</v>
      </c>
      <c r="AD9" s="41">
        <v>0</v>
      </c>
      <c r="AE9" s="65"/>
    </row>
    <row r="10" spans="1:46">
      <c r="A10" s="118" t="s">
        <v>34</v>
      </c>
      <c r="B10" s="54">
        <v>94493221</v>
      </c>
      <c r="C10" s="129">
        <v>166203299</v>
      </c>
      <c r="D10" s="140">
        <v>7000000</v>
      </c>
      <c r="E10" s="30">
        <f t="shared" si="4"/>
        <v>31819.628164916587</v>
      </c>
      <c r="F10" s="31">
        <f t="shared" si="8"/>
        <v>233333.33333333334</v>
      </c>
      <c r="G10" s="61">
        <v>15</v>
      </c>
      <c r="H10" s="44">
        <f>G10*F10</f>
        <v>3500000</v>
      </c>
      <c r="I10" s="49"/>
      <c r="J10" s="62"/>
      <c r="K10" s="51">
        <f>((($B$28/2)*8%)/15)*G10</f>
        <v>70036.2</v>
      </c>
      <c r="L10" s="67"/>
      <c r="M10" s="173">
        <f t="shared" si="9"/>
        <v>0</v>
      </c>
      <c r="N10" s="69"/>
      <c r="O10" s="35">
        <f t="shared" si="10"/>
        <v>0</v>
      </c>
      <c r="P10" s="70"/>
      <c r="Q10" s="35">
        <f>(E10*($Q$4+1)*P10)</f>
        <v>0</v>
      </c>
      <c r="R10" s="71"/>
      <c r="S10" s="35">
        <f t="shared" si="6"/>
        <v>0</v>
      </c>
      <c r="T10" s="68"/>
      <c r="U10" s="35">
        <f t="shared" si="7"/>
        <v>0</v>
      </c>
      <c r="V10" s="67"/>
      <c r="W10" s="62">
        <f>(E10*($W$4+1)*V10)</f>
        <v>0</v>
      </c>
      <c r="X10" s="69"/>
      <c r="Y10" s="72">
        <f>(E10*($Y$4+1)*X10)</f>
        <v>0</v>
      </c>
      <c r="Z10" s="31">
        <f>H10+I10+J10+M10+O10+S10+U10+W10+Y10-K10+Q10</f>
        <v>3429963.8</v>
      </c>
      <c r="AA10" s="73"/>
      <c r="AB10" s="64"/>
      <c r="AC10" s="189">
        <f>Z10+AA10-AB10</f>
        <v>3429963.8</v>
      </c>
      <c r="AD10" s="41">
        <v>0</v>
      </c>
      <c r="AE10" s="74"/>
    </row>
    <row r="11" spans="1:46">
      <c r="A11" s="113" t="s">
        <v>35</v>
      </c>
      <c r="B11" s="59">
        <v>1111797488</v>
      </c>
      <c r="C11" s="55">
        <v>487416612</v>
      </c>
      <c r="D11" s="141">
        <f>B28+50000</f>
        <v>1800905</v>
      </c>
      <c r="E11" s="30">
        <f t="shared" si="4"/>
        <v>8186.3039229055858</v>
      </c>
      <c r="F11" s="31">
        <f t="shared" si="8"/>
        <v>60030.166666666664</v>
      </c>
      <c r="G11" s="43">
        <v>13</v>
      </c>
      <c r="H11" s="44">
        <f>G11*F11</f>
        <v>780392.16666666663</v>
      </c>
      <c r="I11" s="49">
        <f t="shared" si="5"/>
        <v>107941.16666666666</v>
      </c>
      <c r="J11" s="33"/>
      <c r="K11" s="51">
        <f>((($B$28/2)*8%)/15)*G11</f>
        <v>60698.04</v>
      </c>
      <c r="L11" s="38">
        <v>14</v>
      </c>
      <c r="M11" s="173">
        <f>(E11*($M$4+1)*L11)</f>
        <v>143260.31865084774</v>
      </c>
      <c r="N11" s="19"/>
      <c r="O11" s="35">
        <f t="shared" si="10"/>
        <v>0</v>
      </c>
      <c r="P11" s="52"/>
      <c r="Q11" s="35">
        <f t="shared" si="1"/>
        <v>0</v>
      </c>
      <c r="R11" s="38"/>
      <c r="S11" s="35">
        <f t="shared" si="6"/>
        <v>0</v>
      </c>
      <c r="T11" s="35"/>
      <c r="U11" s="35">
        <f t="shared" si="7"/>
        <v>0</v>
      </c>
      <c r="V11" s="38"/>
      <c r="W11" s="31">
        <f>(E11*($W$4)*V11)</f>
        <v>0</v>
      </c>
      <c r="X11" s="19"/>
      <c r="Y11" s="31">
        <f>(E11*($Y$4)*X11)</f>
        <v>0</v>
      </c>
      <c r="Z11" s="60">
        <f>H11+I11+J11+M11+O11+S11+U11+W11+Y11-K11+Q11</f>
        <v>970895.61198418099</v>
      </c>
      <c r="AA11" s="57">
        <f>131800+7200</f>
        <v>139000</v>
      </c>
      <c r="AB11" s="58"/>
      <c r="AC11" s="192">
        <f>Z11+AA11-AB11</f>
        <v>1109895.611984181</v>
      </c>
      <c r="AD11" s="41">
        <v>0</v>
      </c>
      <c r="AE11" s="58"/>
      <c r="AH11" s="76"/>
    </row>
    <row r="12" spans="1:46">
      <c r="A12" s="113" t="s">
        <v>36</v>
      </c>
      <c r="B12" s="77" t="s">
        <v>37</v>
      </c>
      <c r="C12" s="69">
        <v>256524836</v>
      </c>
      <c r="D12" s="142">
        <f>B28+50000</f>
        <v>1800905</v>
      </c>
      <c r="E12" s="30">
        <f t="shared" si="4"/>
        <v>8186.3039229055858</v>
      </c>
      <c r="F12" s="31">
        <f t="shared" si="8"/>
        <v>60030.166666666664</v>
      </c>
      <c r="G12" s="43">
        <v>14</v>
      </c>
      <c r="H12" s="44">
        <f>F12*G12</f>
        <v>840422.33333333326</v>
      </c>
      <c r="I12" s="49">
        <f t="shared" si="5"/>
        <v>116244.33333333333</v>
      </c>
      <c r="J12" s="50"/>
      <c r="K12" s="51">
        <f>((($B$28/2)*8%)/15)*G12</f>
        <v>65367.119999999995</v>
      </c>
      <c r="L12" s="38">
        <v>14</v>
      </c>
      <c r="M12" s="173">
        <f t="shared" si="9"/>
        <v>143260.31865084774</v>
      </c>
      <c r="N12" s="19"/>
      <c r="O12" s="35">
        <f t="shared" si="10"/>
        <v>0</v>
      </c>
      <c r="P12" s="52"/>
      <c r="Q12" s="35">
        <f t="shared" si="1"/>
        <v>0</v>
      </c>
      <c r="R12" s="38"/>
      <c r="S12" s="35">
        <f t="shared" si="6"/>
        <v>0</v>
      </c>
      <c r="T12" s="35"/>
      <c r="U12" s="35">
        <f t="shared" si="7"/>
        <v>0</v>
      </c>
      <c r="V12" s="38"/>
      <c r="W12" s="31">
        <f>(E12*($W$4+1)*V12)</f>
        <v>0</v>
      </c>
      <c r="X12" s="19"/>
      <c r="Y12" s="31">
        <f>(E12*($Y$4+1)*X12)</f>
        <v>0</v>
      </c>
      <c r="Z12" s="31">
        <f t="shared" si="3"/>
        <v>1034559.8653175143</v>
      </c>
      <c r="AA12" s="57">
        <v>81600</v>
      </c>
      <c r="AB12" s="78">
        <v>100000</v>
      </c>
      <c r="AC12" s="192">
        <f>Z12+AA12-AB12</f>
        <v>1016159.8653175142</v>
      </c>
      <c r="AD12" s="41">
        <v>100000</v>
      </c>
      <c r="AE12" s="58"/>
    </row>
    <row r="13" spans="1:46">
      <c r="A13" s="116" t="s">
        <v>38</v>
      </c>
      <c r="B13" s="28">
        <v>1007838659</v>
      </c>
      <c r="C13" s="79">
        <v>487432619</v>
      </c>
      <c r="D13" s="143">
        <f>B28</f>
        <v>1750905</v>
      </c>
      <c r="E13" s="30">
        <f t="shared" si="4"/>
        <v>7959.0208645847533</v>
      </c>
      <c r="F13" s="31">
        <f>D13/30</f>
        <v>58363.5</v>
      </c>
      <c r="G13" s="43">
        <v>15</v>
      </c>
      <c r="H13" s="157">
        <f>G13*F13</f>
        <v>875452.5</v>
      </c>
      <c r="I13" s="49">
        <f t="shared" si="5"/>
        <v>124547.49999999999</v>
      </c>
      <c r="J13" s="167"/>
      <c r="K13" s="51">
        <f>((($B$28/2)*8%)/15)*G13</f>
        <v>70036.2</v>
      </c>
      <c r="L13" s="38"/>
      <c r="M13" s="173">
        <f t="shared" si="9"/>
        <v>0</v>
      </c>
      <c r="N13" s="19"/>
      <c r="O13" s="35">
        <f t="shared" si="10"/>
        <v>0</v>
      </c>
      <c r="P13" s="81"/>
      <c r="Q13" s="35">
        <f t="shared" si="1"/>
        <v>0</v>
      </c>
      <c r="R13" s="82"/>
      <c r="S13" s="35">
        <f t="shared" si="6"/>
        <v>0</v>
      </c>
      <c r="T13" s="35"/>
      <c r="U13" s="35">
        <f t="shared" si="7"/>
        <v>0</v>
      </c>
      <c r="V13" s="38"/>
      <c r="W13" s="31">
        <f t="shared" ref="W13:W24" si="11">(E13*($W$4)*V13)</f>
        <v>0</v>
      </c>
      <c r="X13" s="19"/>
      <c r="Y13" s="31">
        <f t="shared" ref="Y13:Y24" si="12">(E13*($Y$4)*X13)</f>
        <v>0</v>
      </c>
      <c r="Z13" s="31">
        <f t="shared" si="3"/>
        <v>929963.8</v>
      </c>
      <c r="AA13" s="57">
        <f>115400+18000</f>
        <v>133400</v>
      </c>
      <c r="AB13" s="45">
        <v>200000</v>
      </c>
      <c r="AC13" s="193">
        <f>Z13+AA13-AB13</f>
        <v>863363.8</v>
      </c>
      <c r="AD13" s="92">
        <v>200000</v>
      </c>
      <c r="AE13" s="83"/>
    </row>
    <row r="14" spans="1:46">
      <c r="A14" s="114" t="s">
        <v>39</v>
      </c>
      <c r="B14" s="28">
        <v>1006202963</v>
      </c>
      <c r="C14" s="84" t="s">
        <v>40</v>
      </c>
      <c r="D14" s="143">
        <f>B28+50000</f>
        <v>1800905</v>
      </c>
      <c r="E14" s="30">
        <f t="shared" si="4"/>
        <v>8186.3039229055858</v>
      </c>
      <c r="F14" s="31">
        <f t="shared" si="8"/>
        <v>60030.166666666664</v>
      </c>
      <c r="G14" s="85">
        <v>14</v>
      </c>
      <c r="H14" s="157">
        <f>G14*F14</f>
        <v>840422.33333333326</v>
      </c>
      <c r="I14" s="49">
        <f t="shared" si="5"/>
        <v>116244.33333333333</v>
      </c>
      <c r="J14" s="33"/>
      <c r="K14" s="166">
        <f>((($B$28/2)*8%)/15)*G14</f>
        <v>65367.119999999995</v>
      </c>
      <c r="L14" s="87"/>
      <c r="M14" s="173">
        <f t="shared" si="9"/>
        <v>0</v>
      </c>
      <c r="N14" s="89"/>
      <c r="O14" s="35">
        <f t="shared" si="10"/>
        <v>0</v>
      </c>
      <c r="P14" s="52"/>
      <c r="Q14" s="35">
        <f>(E14*($Q$4+1)*P14)</f>
        <v>0</v>
      </c>
      <c r="R14" s="90"/>
      <c r="S14" s="35">
        <f t="shared" si="6"/>
        <v>0</v>
      </c>
      <c r="T14" s="88"/>
      <c r="U14" s="35">
        <f t="shared" si="7"/>
        <v>0</v>
      </c>
      <c r="V14" s="87"/>
      <c r="W14" s="60">
        <f t="shared" si="11"/>
        <v>0</v>
      </c>
      <c r="X14" s="89"/>
      <c r="Y14" s="60">
        <f t="shared" si="12"/>
        <v>0</v>
      </c>
      <c r="Z14" s="31">
        <f t="shared" si="3"/>
        <v>891299.54666666663</v>
      </c>
      <c r="AA14" s="78"/>
      <c r="AB14" s="45"/>
      <c r="AC14" s="193">
        <f>Z14+AA14-AB14</f>
        <v>891299.54666666663</v>
      </c>
      <c r="AD14" s="133"/>
      <c r="AE14" s="134">
        <v>0</v>
      </c>
      <c r="AF14" s="109"/>
    </row>
    <row r="15" spans="1:46" ht="38.25">
      <c r="A15" s="117" t="s">
        <v>44</v>
      </c>
      <c r="B15" s="28">
        <v>1018502331</v>
      </c>
      <c r="C15" s="19">
        <v>484605035</v>
      </c>
      <c r="D15" s="138">
        <f>(1800000*10%)+1800000</f>
        <v>1980000</v>
      </c>
      <c r="E15" s="30">
        <f>F15/7.333</f>
        <v>9000.4091095049771</v>
      </c>
      <c r="F15" s="31">
        <f>D15/30</f>
        <v>66000</v>
      </c>
      <c r="G15" s="85">
        <v>15</v>
      </c>
      <c r="H15" s="44">
        <f>G15*F15</f>
        <v>990000</v>
      </c>
      <c r="I15" s="49">
        <f>(249095/30)*G15</f>
        <v>124547.49999999999</v>
      </c>
      <c r="J15" s="86"/>
      <c r="K15" s="51">
        <f>((($B$28/2)*8%)/15)*G15</f>
        <v>70036.2</v>
      </c>
      <c r="L15" s="87"/>
      <c r="M15" s="190">
        <f>(E15*($M$4+1)*L15)</f>
        <v>0</v>
      </c>
      <c r="N15" s="89"/>
      <c r="O15" s="35">
        <f>(E15*($O$4)*N15)</f>
        <v>0</v>
      </c>
      <c r="P15" s="52"/>
      <c r="Q15" s="35">
        <f>(E15*($Q$4+1)*P15)</f>
        <v>0</v>
      </c>
      <c r="R15" s="90"/>
      <c r="S15" s="35">
        <f>(E15*($S$4)*R15)</f>
        <v>0</v>
      </c>
      <c r="T15" s="88"/>
      <c r="U15" s="35">
        <f>(E15*($U$4)*T15)</f>
        <v>0</v>
      </c>
      <c r="V15" s="87"/>
      <c r="W15" s="60">
        <f>(E15*($W$4)*V15)</f>
        <v>0</v>
      </c>
      <c r="X15" s="89"/>
      <c r="Y15" s="60">
        <f>(E15*($Y$4)*X15)</f>
        <v>0</v>
      </c>
      <c r="Z15" s="31">
        <f>H15+I15+J15+M15+O15+S15+U15+W15+Y15-K15+Q15</f>
        <v>1044511.3</v>
      </c>
      <c r="AA15" s="91">
        <v>88000</v>
      </c>
      <c r="AB15" s="45">
        <v>300000</v>
      </c>
      <c r="AC15" s="188">
        <f>Z15+AA15-AB15</f>
        <v>832511.3</v>
      </c>
      <c r="AD15" s="187" t="s">
        <v>73</v>
      </c>
      <c r="AE15" s="180">
        <f>1190000-150000-150000</f>
        <v>890000</v>
      </c>
      <c r="AF15" s="186" t="s">
        <v>74</v>
      </c>
    </row>
    <row r="16" spans="1:46" s="147" customFormat="1">
      <c r="A16" s="146"/>
      <c r="B16" s="28"/>
      <c r="C16" s="79"/>
      <c r="D16" s="143"/>
      <c r="E16" s="30">
        <f t="shared" si="4"/>
        <v>0</v>
      </c>
      <c r="F16" s="31"/>
      <c r="G16" s="85"/>
      <c r="H16" s="155">
        <f>SUM(H5:H14)-H10</f>
        <v>7824465.333333334</v>
      </c>
      <c r="I16" s="166"/>
      <c r="J16" s="51"/>
      <c r="K16" s="51"/>
      <c r="L16" s="87"/>
      <c r="M16" s="173">
        <f t="shared" si="9"/>
        <v>0</v>
      </c>
      <c r="N16" s="89"/>
      <c r="O16" s="35">
        <f t="shared" si="10"/>
        <v>0</v>
      </c>
      <c r="P16" s="37"/>
      <c r="Q16" s="101">
        <f>SUM(Q9:Q14)</f>
        <v>0</v>
      </c>
      <c r="R16" s="90"/>
      <c r="S16" s="35">
        <f t="shared" si="6"/>
        <v>0</v>
      </c>
      <c r="T16" s="88"/>
      <c r="U16" s="35">
        <f t="shared" si="7"/>
        <v>0</v>
      </c>
      <c r="V16" s="87"/>
      <c r="W16" s="60"/>
      <c r="X16" s="89"/>
      <c r="Y16" s="60"/>
      <c r="Z16" s="31"/>
      <c r="AA16" s="91"/>
      <c r="AB16" s="45"/>
      <c r="AC16" s="176">
        <f>SUM(AC5:AC15)-AC10</f>
        <v>11778811.849182237</v>
      </c>
      <c r="AD16" s="133" t="s">
        <v>75</v>
      </c>
      <c r="AE16" s="134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</row>
    <row r="17" spans="1:46" s="147" customFormat="1">
      <c r="A17" s="146"/>
      <c r="B17" s="28"/>
      <c r="C17" s="79"/>
      <c r="D17" s="143"/>
      <c r="E17" s="30">
        <f t="shared" si="4"/>
        <v>0</v>
      </c>
      <c r="F17" s="31"/>
      <c r="G17" s="85"/>
      <c r="H17" s="151"/>
      <c r="I17" s="51"/>
      <c r="J17" s="51"/>
      <c r="K17" s="51"/>
      <c r="L17" s="87"/>
      <c r="M17" s="173">
        <f t="shared" si="9"/>
        <v>0</v>
      </c>
      <c r="N17" s="89"/>
      <c r="O17" s="35">
        <f t="shared" si="10"/>
        <v>0</v>
      </c>
      <c r="P17" s="37"/>
      <c r="Q17" s="35">
        <f t="shared" ref="Q17" si="13">(E17*($Q$4)*P17)</f>
        <v>0</v>
      </c>
      <c r="R17" s="90"/>
      <c r="S17" s="35">
        <f t="shared" si="6"/>
        <v>0</v>
      </c>
      <c r="T17" s="88"/>
      <c r="U17" s="35">
        <f t="shared" si="7"/>
        <v>0</v>
      </c>
      <c r="V17" s="87"/>
      <c r="W17" s="60"/>
      <c r="X17" s="89"/>
      <c r="Y17" s="60"/>
      <c r="Z17" s="31"/>
      <c r="AA17" s="91"/>
      <c r="AB17" s="45"/>
      <c r="AC17" s="53"/>
      <c r="AD17" s="133"/>
      <c r="AE17" s="134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</row>
    <row r="18" spans="1:46">
      <c r="A18" s="117" t="s">
        <v>43</v>
      </c>
      <c r="B18" s="28">
        <v>1116242414</v>
      </c>
      <c r="C18" s="79">
        <v>186736849</v>
      </c>
      <c r="D18" s="138">
        <f>(1800000*10%)+1800000</f>
        <v>1980000</v>
      </c>
      <c r="E18" s="30">
        <f t="shared" si="4"/>
        <v>9000.4091095049771</v>
      </c>
      <c r="F18" s="31">
        <f t="shared" si="8"/>
        <v>66000</v>
      </c>
      <c r="G18" s="85">
        <v>15</v>
      </c>
      <c r="H18" s="44">
        <f>G18*F18</f>
        <v>990000</v>
      </c>
      <c r="I18" s="49">
        <f t="shared" si="5"/>
        <v>124547.49999999999</v>
      </c>
      <c r="J18" s="86"/>
      <c r="K18" s="51">
        <f>((($B$28/2)*8%)/15)*G18</f>
        <v>70036.2</v>
      </c>
      <c r="L18" s="87">
        <v>4</v>
      </c>
      <c r="M18" s="173">
        <f t="shared" si="9"/>
        <v>45002.045547524889</v>
      </c>
      <c r="N18" s="89"/>
      <c r="O18" s="35">
        <f t="shared" si="10"/>
        <v>0</v>
      </c>
      <c r="P18" s="52"/>
      <c r="Q18" s="35">
        <f t="shared" ref="Q18:Q24" si="14">(E18*($Q$4+1)*P18)</f>
        <v>0</v>
      </c>
      <c r="R18" s="90"/>
      <c r="S18" s="35">
        <f t="shared" si="6"/>
        <v>0</v>
      </c>
      <c r="T18" s="88"/>
      <c r="U18" s="35">
        <f t="shared" si="7"/>
        <v>0</v>
      </c>
      <c r="V18" s="87"/>
      <c r="W18" s="60">
        <f t="shared" si="11"/>
        <v>0</v>
      </c>
      <c r="X18" s="89"/>
      <c r="Y18" s="60">
        <f t="shared" si="12"/>
        <v>0</v>
      </c>
      <c r="Z18" s="31">
        <f t="shared" si="3"/>
        <v>1089513.345547525</v>
      </c>
      <c r="AA18" s="91"/>
      <c r="AB18" s="45"/>
      <c r="AC18" s="188">
        <f>Z18+AA18-AB18</f>
        <v>1089513.345547525</v>
      </c>
      <c r="AD18" s="41">
        <v>0</v>
      </c>
      <c r="AE18" s="47"/>
    </row>
    <row r="19" spans="1:46">
      <c r="A19" s="116" t="s">
        <v>45</v>
      </c>
      <c r="B19" s="28">
        <v>16501191</v>
      </c>
      <c r="C19" s="93" t="s">
        <v>46</v>
      </c>
      <c r="D19" s="144">
        <f>B28</f>
        <v>1750905</v>
      </c>
      <c r="E19" s="30">
        <f t="shared" si="4"/>
        <v>7959.0208645847533</v>
      </c>
      <c r="F19" s="31">
        <f t="shared" si="8"/>
        <v>58363.5</v>
      </c>
      <c r="G19" s="85">
        <v>7</v>
      </c>
      <c r="H19" s="44">
        <f t="shared" ref="H19:H24" si="15">G19*F19</f>
        <v>408544.5</v>
      </c>
      <c r="I19" s="49">
        <f t="shared" si="5"/>
        <v>58122.166666666664</v>
      </c>
      <c r="J19" s="94"/>
      <c r="K19" s="51">
        <f>((($B$28/2)*8%)/15)*G19</f>
        <v>32683.559999999998</v>
      </c>
      <c r="L19" s="87">
        <v>9</v>
      </c>
      <c r="M19" s="173">
        <f t="shared" si="9"/>
        <v>89538.984726578477</v>
      </c>
      <c r="N19" s="89"/>
      <c r="O19" s="35">
        <f t="shared" si="10"/>
        <v>0</v>
      </c>
      <c r="P19" s="52"/>
      <c r="Q19" s="35">
        <f t="shared" si="14"/>
        <v>0</v>
      </c>
      <c r="R19" s="90"/>
      <c r="S19" s="35">
        <f t="shared" si="6"/>
        <v>0</v>
      </c>
      <c r="T19" s="88"/>
      <c r="U19" s="35">
        <f t="shared" si="7"/>
        <v>0</v>
      </c>
      <c r="V19" s="87"/>
      <c r="W19" s="60">
        <f t="shared" si="11"/>
        <v>0</v>
      </c>
      <c r="X19" s="89"/>
      <c r="Y19" s="60">
        <f t="shared" si="12"/>
        <v>0</v>
      </c>
      <c r="Z19" s="31">
        <f t="shared" si="3"/>
        <v>523522.09139324521</v>
      </c>
      <c r="AA19" s="91"/>
      <c r="AB19" s="45"/>
      <c r="AC19" s="188">
        <f>Z19+AA19-AB19</f>
        <v>523522.09139324521</v>
      </c>
      <c r="AD19" s="92">
        <v>0</v>
      </c>
      <c r="AE19" s="47"/>
    </row>
    <row r="20" spans="1:46">
      <c r="A20" s="116" t="s">
        <v>47</v>
      </c>
      <c r="B20" s="28">
        <v>16505237</v>
      </c>
      <c r="C20" s="19">
        <v>186817573</v>
      </c>
      <c r="D20" s="144">
        <f>B28</f>
        <v>1750905</v>
      </c>
      <c r="E20" s="30">
        <f t="shared" si="4"/>
        <v>7959.0208645847533</v>
      </c>
      <c r="F20" s="31">
        <f t="shared" si="8"/>
        <v>58363.5</v>
      </c>
      <c r="G20" s="85">
        <v>15</v>
      </c>
      <c r="H20" s="44">
        <f t="shared" si="15"/>
        <v>875452.5</v>
      </c>
      <c r="I20" s="49">
        <f t="shared" si="5"/>
        <v>124547.49999999999</v>
      </c>
      <c r="J20" s="86"/>
      <c r="K20" s="51">
        <f>((($B$28/2)*8%)/15)*G20</f>
        <v>70036.2</v>
      </c>
      <c r="L20" s="87">
        <v>8</v>
      </c>
      <c r="M20" s="173">
        <f t="shared" si="9"/>
        <v>79590.208645847539</v>
      </c>
      <c r="N20" s="89"/>
      <c r="O20" s="35">
        <f t="shared" si="10"/>
        <v>0</v>
      </c>
      <c r="P20" s="52"/>
      <c r="Q20" s="35">
        <f t="shared" si="14"/>
        <v>0</v>
      </c>
      <c r="R20" s="90"/>
      <c r="S20" s="35">
        <f t="shared" si="6"/>
        <v>0</v>
      </c>
      <c r="T20" s="88"/>
      <c r="U20" s="35">
        <f t="shared" si="7"/>
        <v>0</v>
      </c>
      <c r="V20" s="87"/>
      <c r="W20" s="60">
        <f t="shared" si="11"/>
        <v>0</v>
      </c>
      <c r="X20" s="89"/>
      <c r="Y20" s="60">
        <f t="shared" si="12"/>
        <v>0</v>
      </c>
      <c r="Z20" s="31">
        <f>H20+I20+J20+M20+O20+S20+U20+W20+Y20-K20+Q20</f>
        <v>1009554.0086458477</v>
      </c>
      <c r="AA20" s="91"/>
      <c r="AB20" s="45"/>
      <c r="AC20" s="188">
        <f>Z20+AA20-AB20</f>
        <v>1009554.0086458477</v>
      </c>
      <c r="AD20" s="92">
        <v>0</v>
      </c>
      <c r="AE20" s="47"/>
      <c r="AF20" s="26" t="s">
        <v>76</v>
      </c>
    </row>
    <row r="21" spans="1:46">
      <c r="A21" s="120" t="s">
        <v>48</v>
      </c>
      <c r="B21" s="28">
        <v>1111747391</v>
      </c>
      <c r="C21" s="19">
        <v>186817581</v>
      </c>
      <c r="D21" s="144">
        <f>(B28*C29)+B28</f>
        <v>1840201.155</v>
      </c>
      <c r="E21" s="30">
        <f t="shared" si="4"/>
        <v>8364.9309286785756</v>
      </c>
      <c r="F21" s="31">
        <f t="shared" si="8"/>
        <v>61340.038500000002</v>
      </c>
      <c r="G21" s="85">
        <v>15</v>
      </c>
      <c r="H21" s="44">
        <f>G21*F21</f>
        <v>920100.57750000001</v>
      </c>
      <c r="I21" s="49">
        <f t="shared" si="5"/>
        <v>124547.49999999999</v>
      </c>
      <c r="J21" s="86"/>
      <c r="K21" s="51">
        <f>((($B$28/2)*8%)/15)*G21</f>
        <v>70036.2</v>
      </c>
      <c r="L21" s="87">
        <v>3</v>
      </c>
      <c r="M21" s="173">
        <f t="shared" si="9"/>
        <v>31368.490982544656</v>
      </c>
      <c r="N21" s="89"/>
      <c r="O21" s="35">
        <f t="shared" si="10"/>
        <v>0</v>
      </c>
      <c r="P21" s="52"/>
      <c r="Q21" s="35">
        <f t="shared" si="14"/>
        <v>0</v>
      </c>
      <c r="R21" s="90"/>
      <c r="S21" s="35">
        <f t="shared" si="6"/>
        <v>0</v>
      </c>
      <c r="T21" s="88"/>
      <c r="U21" s="35">
        <f t="shared" si="7"/>
        <v>0</v>
      </c>
      <c r="V21" s="87"/>
      <c r="W21" s="60">
        <f t="shared" si="11"/>
        <v>0</v>
      </c>
      <c r="X21" s="89"/>
      <c r="Y21" s="60">
        <f t="shared" si="12"/>
        <v>0</v>
      </c>
      <c r="Z21" s="31">
        <f t="shared" si="3"/>
        <v>1005980.3684825448</v>
      </c>
      <c r="AA21" s="91"/>
      <c r="AB21" s="45"/>
      <c r="AC21" s="188">
        <f>Z21+AA21-AB21</f>
        <v>1005980.3684825448</v>
      </c>
      <c r="AD21" s="92">
        <v>0</v>
      </c>
      <c r="AE21" s="47"/>
      <c r="AF21" s="26" t="s">
        <v>77</v>
      </c>
    </row>
    <row r="22" spans="1:46">
      <c r="A22" s="116" t="s">
        <v>49</v>
      </c>
      <c r="B22" s="28">
        <v>1006188943</v>
      </c>
      <c r="C22" s="69">
        <v>186817607</v>
      </c>
      <c r="D22" s="142">
        <f>B28</f>
        <v>1750905</v>
      </c>
      <c r="E22" s="30">
        <f t="shared" si="4"/>
        <v>7959.0208645847533</v>
      </c>
      <c r="F22" s="31">
        <f t="shared" si="8"/>
        <v>58363.5</v>
      </c>
      <c r="G22" s="85">
        <v>15</v>
      </c>
      <c r="H22" s="44">
        <f t="shared" si="15"/>
        <v>875452.5</v>
      </c>
      <c r="I22" s="49">
        <f t="shared" si="5"/>
        <v>124547.49999999999</v>
      </c>
      <c r="J22" s="86"/>
      <c r="K22" s="51">
        <f>((($B$28/2)*8%)/15)*G22</f>
        <v>70036.2</v>
      </c>
      <c r="L22" s="87">
        <v>5</v>
      </c>
      <c r="M22" s="173">
        <f t="shared" si="9"/>
        <v>49743.880403654708</v>
      </c>
      <c r="N22" s="89"/>
      <c r="O22" s="35">
        <f t="shared" si="10"/>
        <v>0</v>
      </c>
      <c r="P22" s="52"/>
      <c r="Q22" s="35">
        <f t="shared" si="14"/>
        <v>0</v>
      </c>
      <c r="R22" s="90"/>
      <c r="S22" s="35">
        <f t="shared" si="6"/>
        <v>0</v>
      </c>
      <c r="T22" s="88"/>
      <c r="U22" s="35">
        <f t="shared" si="7"/>
        <v>0</v>
      </c>
      <c r="V22" s="87"/>
      <c r="W22" s="60">
        <f t="shared" si="11"/>
        <v>0</v>
      </c>
      <c r="X22" s="89"/>
      <c r="Y22" s="60">
        <f t="shared" si="12"/>
        <v>0</v>
      </c>
      <c r="Z22" s="31">
        <f t="shared" si="3"/>
        <v>979707.6804036547</v>
      </c>
      <c r="AA22" s="91"/>
      <c r="AB22" s="45"/>
      <c r="AC22" s="188">
        <f>Z22+AA22-AB22</f>
        <v>979707.6804036547</v>
      </c>
      <c r="AD22" s="92">
        <v>0</v>
      </c>
      <c r="AE22" s="47"/>
      <c r="AG22" s="76"/>
    </row>
    <row r="23" spans="1:46">
      <c r="A23" s="116" t="s">
        <v>50</v>
      </c>
      <c r="B23" s="95">
        <v>1006203947</v>
      </c>
      <c r="C23" s="19">
        <v>186821369</v>
      </c>
      <c r="D23" s="145">
        <f>B28</f>
        <v>1750905</v>
      </c>
      <c r="E23" s="30">
        <f t="shared" si="4"/>
        <v>7959.0208645847533</v>
      </c>
      <c r="F23" s="31">
        <f t="shared" si="8"/>
        <v>58363.5</v>
      </c>
      <c r="G23" s="85">
        <v>15</v>
      </c>
      <c r="H23" s="44">
        <f t="shared" si="15"/>
        <v>875452.5</v>
      </c>
      <c r="I23" s="49">
        <f t="shared" si="5"/>
        <v>124547.49999999999</v>
      </c>
      <c r="J23" s="86"/>
      <c r="K23" s="51">
        <f>((($B$28/2)*8%)/15)*G23</f>
        <v>70036.2</v>
      </c>
      <c r="L23" s="87">
        <v>9</v>
      </c>
      <c r="M23" s="173">
        <f t="shared" si="9"/>
        <v>89538.984726578477</v>
      </c>
      <c r="N23" s="89"/>
      <c r="O23" s="35">
        <f t="shared" si="10"/>
        <v>0</v>
      </c>
      <c r="P23" s="52"/>
      <c r="Q23" s="35">
        <f t="shared" si="14"/>
        <v>0</v>
      </c>
      <c r="R23" s="90"/>
      <c r="S23" s="35">
        <f t="shared" si="6"/>
        <v>0</v>
      </c>
      <c r="T23" s="88"/>
      <c r="U23" s="35">
        <f t="shared" si="7"/>
        <v>0</v>
      </c>
      <c r="V23" s="87"/>
      <c r="W23" s="60">
        <f t="shared" si="11"/>
        <v>0</v>
      </c>
      <c r="X23" s="89"/>
      <c r="Y23" s="60">
        <f t="shared" si="12"/>
        <v>0</v>
      </c>
      <c r="Z23" s="31">
        <f t="shared" si="3"/>
        <v>1019502.7847265785</v>
      </c>
      <c r="AA23" s="91"/>
      <c r="AB23" s="45"/>
      <c r="AC23" s="188">
        <f>Z23+AA23-AB23</f>
        <v>1019502.7847265785</v>
      </c>
      <c r="AD23" s="92">
        <v>0</v>
      </c>
      <c r="AE23" s="47"/>
      <c r="AG23" s="76"/>
    </row>
    <row r="24" spans="1:46">
      <c r="A24" s="119" t="s">
        <v>51</v>
      </c>
      <c r="B24" s="95">
        <v>1111814116</v>
      </c>
      <c r="C24" s="19">
        <v>186821385</v>
      </c>
      <c r="D24" s="143">
        <f>(2000000*C29)+2000000</f>
        <v>2102000</v>
      </c>
      <c r="E24" s="30">
        <f t="shared" si="4"/>
        <v>9554.9797718078098</v>
      </c>
      <c r="F24" s="131">
        <f t="shared" si="8"/>
        <v>70066.666666666672</v>
      </c>
      <c r="G24" s="85">
        <v>15</v>
      </c>
      <c r="H24" s="157">
        <f t="shared" si="15"/>
        <v>1051000</v>
      </c>
      <c r="I24" s="171">
        <f t="shared" si="5"/>
        <v>124547.49999999999</v>
      </c>
      <c r="J24" s="172"/>
      <c r="K24" s="51">
        <f>((($B$28/2)*8%)/15)*G24</f>
        <v>70036.2</v>
      </c>
      <c r="L24" s="87">
        <v>1</v>
      </c>
      <c r="M24" s="173">
        <f t="shared" si="9"/>
        <v>11943.724714759763</v>
      </c>
      <c r="N24" s="89"/>
      <c r="O24" s="35">
        <f t="shared" si="10"/>
        <v>0</v>
      </c>
      <c r="P24" s="52"/>
      <c r="Q24" s="35">
        <f t="shared" si="14"/>
        <v>0</v>
      </c>
      <c r="R24" s="90"/>
      <c r="S24" s="35">
        <f t="shared" si="6"/>
        <v>0</v>
      </c>
      <c r="T24" s="88"/>
      <c r="U24" s="35">
        <f t="shared" si="7"/>
        <v>0</v>
      </c>
      <c r="V24" s="87"/>
      <c r="W24" s="60">
        <f t="shared" si="11"/>
        <v>0</v>
      </c>
      <c r="X24" s="89"/>
      <c r="Y24" s="60">
        <f t="shared" si="12"/>
        <v>0</v>
      </c>
      <c r="Z24" s="31">
        <f t="shared" si="3"/>
        <v>1117455.0247147598</v>
      </c>
      <c r="AA24" s="91"/>
      <c r="AB24" s="45"/>
      <c r="AC24" s="188">
        <f>Z24+AA24-AB24</f>
        <v>1117455.0247147598</v>
      </c>
      <c r="AD24" s="92">
        <v>0</v>
      </c>
      <c r="AE24" s="47"/>
      <c r="AG24" s="76"/>
    </row>
    <row r="25" spans="1:46" s="147" customFormat="1">
      <c r="A25" s="146"/>
      <c r="B25" s="95"/>
      <c r="C25" s="19"/>
      <c r="D25" s="148"/>
      <c r="E25" s="149"/>
      <c r="F25" s="94"/>
      <c r="G25" s="85"/>
      <c r="H25" s="168">
        <f>SUM(H18:H24)</f>
        <v>5996002.5775000006</v>
      </c>
      <c r="I25" s="31"/>
      <c r="J25" s="31"/>
      <c r="K25" s="166"/>
      <c r="L25" s="87"/>
      <c r="M25" s="35">
        <f t="shared" ref="M25:M42" si="16">(E25*($M$4)*L25)</f>
        <v>0</v>
      </c>
      <c r="N25" s="89"/>
      <c r="O25" s="35">
        <f t="shared" si="10"/>
        <v>0</v>
      </c>
      <c r="P25" s="152"/>
      <c r="Q25" s="153">
        <f>SUM(Q18:Q24)</f>
        <v>0</v>
      </c>
      <c r="R25" s="90"/>
      <c r="S25" s="88"/>
      <c r="T25" s="88"/>
      <c r="U25" s="88"/>
      <c r="V25" s="87"/>
      <c r="W25" s="60"/>
      <c r="X25" s="89"/>
      <c r="Y25" s="60"/>
      <c r="Z25" s="31"/>
      <c r="AA25" s="91"/>
      <c r="AB25" s="45"/>
      <c r="AC25" s="176">
        <f>SUM(AC18:AC24)</f>
        <v>6745235.3039141558</v>
      </c>
      <c r="AD25" s="92"/>
      <c r="AE25" s="47"/>
      <c r="AG25" s="154"/>
    </row>
    <row r="26" spans="1:46">
      <c r="A26" s="20" t="s">
        <v>52</v>
      </c>
      <c r="B26" s="96"/>
      <c r="C26" s="47"/>
      <c r="D26" s="126"/>
      <c r="E26" s="132">
        <f>SUM(E5:E14)</f>
        <v>122829.66453020592</v>
      </c>
      <c r="F26" s="97">
        <f>SUM(F5:F24)</f>
        <v>1419721.7051666668</v>
      </c>
      <c r="G26" s="98"/>
      <c r="H26" s="169"/>
      <c r="I26" s="100">
        <f>SUM(I5:I14)</f>
        <v>722375.49999999988</v>
      </c>
      <c r="J26" s="100">
        <f>SUM(J5:J24)</f>
        <v>1150901</v>
      </c>
      <c r="K26" s="170">
        <f>SUM(K5:K14)</f>
        <v>476246.16</v>
      </c>
      <c r="L26" s="20"/>
      <c r="M26" s="100">
        <f>SUM(M18:M25)</f>
        <v>396726.31974748848</v>
      </c>
      <c r="N26" s="20"/>
      <c r="O26" s="100">
        <f>SUM(O5:O14)</f>
        <v>0</v>
      </c>
      <c r="P26" s="99"/>
      <c r="Q26" s="99">
        <f>Q16+Q25</f>
        <v>0</v>
      </c>
      <c r="R26" s="20"/>
      <c r="S26" s="101">
        <f>SUM(S5:S14)</f>
        <v>0</v>
      </c>
      <c r="T26" s="35"/>
      <c r="U26" s="101">
        <f>SUM(U5:U14)</f>
        <v>0</v>
      </c>
      <c r="V26" s="20"/>
      <c r="W26" s="100">
        <f>SUM(W5:W14)</f>
        <v>0</v>
      </c>
      <c r="X26" s="20"/>
      <c r="Y26" s="100">
        <f>SUM(Y5:Y14)</f>
        <v>0</v>
      </c>
      <c r="Z26" s="102">
        <f>SUM(Z5:Z24)</f>
        <v>21136910.953096393</v>
      </c>
      <c r="AA26" s="103">
        <f>SUM(AA5:AA14)</f>
        <v>1329100</v>
      </c>
      <c r="AB26" s="103">
        <f>SUM(AB5:AB14)</f>
        <v>300000</v>
      </c>
      <c r="AC26" s="104">
        <f>AC16+AC25</f>
        <v>18524047.153096393</v>
      </c>
      <c r="AD26" s="58" t="s">
        <v>78</v>
      </c>
      <c r="AE26" s="105"/>
    </row>
    <row r="27" spans="1:46" ht="15">
      <c r="A27" s="247" t="s">
        <v>54</v>
      </c>
      <c r="B27" s="247"/>
      <c r="C27" s="247"/>
      <c r="D27" s="247"/>
      <c r="E27" s="247"/>
      <c r="F27" s="247"/>
      <c r="G27" s="247"/>
      <c r="H27" s="247"/>
      <c r="I27" s="247"/>
      <c r="AC27" s="154"/>
    </row>
    <row r="28" spans="1:46" ht="15">
      <c r="A28" s="21" t="s">
        <v>55</v>
      </c>
      <c r="B28" s="22">
        <v>1750905</v>
      </c>
      <c r="C28" s="135" t="s">
        <v>56</v>
      </c>
      <c r="D28" s="16"/>
      <c r="E28" s="16"/>
      <c r="F28" s="16"/>
      <c r="G28" s="16"/>
      <c r="H28" s="16"/>
      <c r="I28" s="16"/>
      <c r="AC28" s="154"/>
      <c r="AD28" s="185"/>
    </row>
    <row r="29" spans="1:46" ht="15">
      <c r="A29" s="23" t="s">
        <v>57</v>
      </c>
      <c r="B29" s="24">
        <v>249095</v>
      </c>
      <c r="C29" s="136">
        <v>5.0999999999999997E-2</v>
      </c>
      <c r="D29" s="16"/>
      <c r="E29" s="16"/>
      <c r="F29" s="16"/>
      <c r="G29" s="16"/>
      <c r="H29" s="16"/>
      <c r="I29" s="16"/>
      <c r="AC29" s="154"/>
      <c r="AE29" s="106"/>
    </row>
    <row r="30" spans="1:46" ht="15">
      <c r="A30" s="16"/>
      <c r="B30" s="16"/>
      <c r="C30" s="16"/>
      <c r="D30" s="16"/>
      <c r="E30" s="16"/>
      <c r="F30" s="16"/>
      <c r="G30" s="16"/>
      <c r="H30" s="16"/>
      <c r="I30" s="16"/>
      <c r="AC30" s="183"/>
      <c r="AE30" s="106"/>
    </row>
    <row r="31" spans="1:46" ht="29.25">
      <c r="A31" s="125" t="s">
        <v>58</v>
      </c>
      <c r="B31" s="16"/>
      <c r="C31" s="16"/>
      <c r="D31" s="16"/>
      <c r="E31" s="16"/>
      <c r="F31" s="16"/>
      <c r="G31" s="16"/>
      <c r="H31" s="16"/>
      <c r="I31" s="16"/>
      <c r="AC31" s="154"/>
      <c r="AE31" s="106"/>
      <c r="AG31" s="107"/>
    </row>
    <row r="32" spans="1:46" ht="15">
      <c r="A32" s="245" t="s">
        <v>59</v>
      </c>
      <c r="B32" s="16"/>
      <c r="C32" s="16"/>
      <c r="D32" s="16"/>
      <c r="E32" s="16"/>
      <c r="F32" s="16"/>
      <c r="G32" s="16"/>
      <c r="H32" s="16"/>
      <c r="I32" s="16"/>
      <c r="M32" s="249" t="s">
        <v>60</v>
      </c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AC32" s="147"/>
      <c r="AE32" s="106"/>
    </row>
    <row r="33" spans="1:31" ht="15">
      <c r="A33" s="245"/>
      <c r="B33" s="16"/>
      <c r="C33" s="16"/>
      <c r="D33" s="16"/>
      <c r="E33" s="16"/>
      <c r="F33" s="16"/>
      <c r="G33" s="16"/>
      <c r="H33" s="16"/>
      <c r="I33" s="16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AC33" s="147"/>
      <c r="AE33" s="106"/>
    </row>
    <row r="34" spans="1:31">
      <c r="F34" s="108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AC34" s="147"/>
      <c r="AE34" s="106"/>
    </row>
    <row r="35" spans="1:31">
      <c r="M35" s="250" t="s">
        <v>61</v>
      </c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AE35" s="106"/>
    </row>
    <row r="36" spans="1:31">
      <c r="J36" s="109"/>
      <c r="AE36" s="106"/>
    </row>
    <row r="37" spans="1:31">
      <c r="F37" s="108"/>
      <c r="J37" s="109"/>
      <c r="AE37" s="106"/>
    </row>
    <row r="38" spans="1:31">
      <c r="J38" s="109"/>
      <c r="AE38" s="106"/>
    </row>
    <row r="39" spans="1:31" ht="43.5" customHeight="1">
      <c r="D39" s="248" t="s">
        <v>62</v>
      </c>
      <c r="E39" s="248"/>
      <c r="F39" s="248"/>
      <c r="G39" s="26">
        <v>8</v>
      </c>
      <c r="AE39" s="106"/>
    </row>
    <row r="40" spans="1:31">
      <c r="J40" s="109"/>
      <c r="AE40" s="106"/>
    </row>
  </sheetData>
  <mergeCells count="9">
    <mergeCell ref="D39:F39"/>
    <mergeCell ref="A1:AC1"/>
    <mergeCell ref="A2:AC2"/>
    <mergeCell ref="A3:AC3"/>
    <mergeCell ref="AD3:AE3"/>
    <mergeCell ref="A27:I27"/>
    <mergeCell ref="A32:A33"/>
    <mergeCell ref="M32:Y34"/>
    <mergeCell ref="M35:Y3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B541-D609-41AD-BD28-F4202B9CA605}">
  <dimension ref="A1:AT40"/>
  <sheetViews>
    <sheetView workbookViewId="0">
      <pane xSplit="3" topLeftCell="D16" activePane="topRight" state="frozen"/>
      <selection pane="topRight" activeCell="D8" sqref="D8"/>
    </sheetView>
  </sheetViews>
  <sheetFormatPr defaultRowHeight="13.5"/>
  <cols>
    <col min="1" max="1" width="48.7109375" style="26" customWidth="1"/>
    <col min="2" max="2" width="12.140625" style="26" bestFit="1" customWidth="1"/>
    <col min="3" max="3" width="17.5703125" style="26" customWidth="1"/>
    <col min="4" max="4" width="15.7109375" style="26" customWidth="1"/>
    <col min="5" max="5" width="11" style="26" customWidth="1"/>
    <col min="6" max="6" width="13.28515625" style="26" customWidth="1"/>
    <col min="7" max="7" width="12.28515625" style="26" customWidth="1"/>
    <col min="8" max="8" width="12.7109375" style="26" customWidth="1"/>
    <col min="9" max="9" width="12.28515625" style="26" customWidth="1"/>
    <col min="10" max="10" width="26.28515625" style="26" bestFit="1" customWidth="1"/>
    <col min="11" max="11" width="15.28515625" style="26" customWidth="1"/>
    <col min="12" max="12" width="9.140625" style="26"/>
    <col min="13" max="13" width="12.42578125" style="26" customWidth="1"/>
    <col min="14" max="16" width="9.140625" style="26"/>
    <col min="17" max="17" width="12.140625" style="26" customWidth="1"/>
    <col min="18" max="24" width="9.140625" style="26"/>
    <col min="25" max="25" width="10.85546875" style="26" customWidth="1"/>
    <col min="26" max="26" width="13.5703125" style="26" bestFit="1" customWidth="1"/>
    <col min="27" max="27" width="16.5703125" style="26" customWidth="1"/>
    <col min="28" max="28" width="14.85546875" style="26" customWidth="1"/>
    <col min="29" max="29" width="14.42578125" style="26" customWidth="1"/>
    <col min="30" max="30" width="18.28515625" style="26" customWidth="1"/>
    <col min="31" max="31" width="15.28515625" style="26" customWidth="1"/>
    <col min="32" max="32" width="14.7109375" style="26" customWidth="1"/>
    <col min="33" max="33" width="15.5703125" style="26" customWidth="1"/>
    <col min="34" max="34" width="15.42578125" style="26" customWidth="1"/>
    <col min="35" max="35" width="13" style="26" customWidth="1"/>
    <col min="36" max="16384" width="9.140625" style="26"/>
  </cols>
  <sheetData>
    <row r="1" spans="1:46" ht="2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"/>
    </row>
    <row r="2" spans="1:46" ht="21">
      <c r="A2" s="252" t="s">
        <v>79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7"/>
    </row>
    <row r="3" spans="1:46" ht="21">
      <c r="A3" s="251" t="s">
        <v>2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46" t="s">
        <v>3</v>
      </c>
      <c r="AE3" s="246"/>
    </row>
    <row r="4" spans="1:46" ht="38.25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4" t="s">
        <v>72</v>
      </c>
      <c r="K4" s="3" t="s">
        <v>65</v>
      </c>
      <c r="L4" s="5" t="s">
        <v>15</v>
      </c>
      <c r="M4" s="6">
        <v>0.25</v>
      </c>
      <c r="N4" s="7" t="s">
        <v>16</v>
      </c>
      <c r="O4" s="8">
        <v>0.75</v>
      </c>
      <c r="P4" s="9" t="s">
        <v>17</v>
      </c>
      <c r="Q4" s="9">
        <v>0.8</v>
      </c>
      <c r="R4" s="10" t="s">
        <v>18</v>
      </c>
      <c r="S4" s="11">
        <v>1</v>
      </c>
      <c r="T4" s="12" t="s">
        <v>19</v>
      </c>
      <c r="U4" s="12">
        <v>1.1000000000000001</v>
      </c>
      <c r="V4" s="5" t="s">
        <v>20</v>
      </c>
      <c r="W4" s="6">
        <v>1.5</v>
      </c>
      <c r="X4" s="4" t="s">
        <v>21</v>
      </c>
      <c r="Y4" s="9">
        <v>0.35</v>
      </c>
      <c r="Z4" s="13" t="s">
        <v>22</v>
      </c>
      <c r="AA4" s="3" t="s">
        <v>23</v>
      </c>
      <c r="AB4" s="14" t="s">
        <v>24</v>
      </c>
      <c r="AC4" s="158" t="s">
        <v>25</v>
      </c>
      <c r="AD4" s="14" t="s">
        <v>26</v>
      </c>
      <c r="AE4" s="15" t="s">
        <v>27</v>
      </c>
    </row>
    <row r="5" spans="1:46">
      <c r="A5" s="17" t="s">
        <v>28</v>
      </c>
      <c r="B5" s="28">
        <v>94558569</v>
      </c>
      <c r="C5" s="29" t="s">
        <v>29</v>
      </c>
      <c r="D5" s="200"/>
      <c r="E5" s="30">
        <f>F5/8</f>
        <v>16605</v>
      </c>
      <c r="F5" s="31">
        <v>132840</v>
      </c>
      <c r="G5" s="32">
        <v>10</v>
      </c>
      <c r="H5" s="194">
        <f>F5*G5</f>
        <v>1328400</v>
      </c>
      <c r="I5" s="31"/>
      <c r="J5" s="33"/>
      <c r="K5" s="51">
        <v>0</v>
      </c>
      <c r="L5" s="34">
        <v>2</v>
      </c>
      <c r="M5" s="35">
        <f>(E5*L5)</f>
        <v>33210</v>
      </c>
      <c r="N5" s="36"/>
      <c r="O5" s="35">
        <f>(E5*($O$4+1)*N5)</f>
        <v>0</v>
      </c>
      <c r="P5" s="37"/>
      <c r="Q5" s="35">
        <f>(E5*($Q$4+1)*P5)</f>
        <v>0</v>
      </c>
      <c r="R5" s="38"/>
      <c r="S5" s="35">
        <f>(E5*($S$4+1)*R5)</f>
        <v>0</v>
      </c>
      <c r="T5" s="35"/>
      <c r="U5" s="35">
        <f t="shared" ref="U5:U6" si="0">(E5*($U$4+1)*T5)</f>
        <v>0</v>
      </c>
      <c r="V5" s="38"/>
      <c r="W5" s="31">
        <f>(E5*($W$4+1)*V5)</f>
        <v>0</v>
      </c>
      <c r="X5" s="38"/>
      <c r="Y5" s="31">
        <f>(E5*($Y$4+1)*X5)</f>
        <v>0</v>
      </c>
      <c r="Z5" s="31">
        <f>H5+I5+J5+M5+O5+S5+U5+W5+Y5-K5+Q5</f>
        <v>1361610</v>
      </c>
      <c r="AA5" s="133">
        <v>47200</v>
      </c>
      <c r="AB5" s="209">
        <v>50000</v>
      </c>
      <c r="AC5" s="182">
        <f>Z5+AA5-AB5</f>
        <v>1358810</v>
      </c>
      <c r="AD5" s="41">
        <v>50000</v>
      </c>
      <c r="AE5" s="134">
        <v>0</v>
      </c>
      <c r="AF5" s="217" t="s">
        <v>80</v>
      </c>
      <c r="AG5" s="235">
        <f>1100000+1131800</f>
        <v>2231800</v>
      </c>
      <c r="AH5" s="109">
        <v>1131875</v>
      </c>
      <c r="AI5" s="109">
        <f>AC5-AH5</f>
        <v>226935</v>
      </c>
    </row>
    <row r="6" spans="1:46">
      <c r="A6" s="17" t="s">
        <v>30</v>
      </c>
      <c r="B6" s="28">
        <v>6163973</v>
      </c>
      <c r="C6" s="42">
        <v>142184027</v>
      </c>
      <c r="D6" s="201"/>
      <c r="E6" s="30">
        <f>F6/8</f>
        <v>16605</v>
      </c>
      <c r="F6" s="31">
        <v>132840</v>
      </c>
      <c r="G6" s="43">
        <v>12</v>
      </c>
      <c r="H6" s="194">
        <f>G6*F6</f>
        <v>1594080</v>
      </c>
      <c r="I6" s="31"/>
      <c r="J6" s="33"/>
      <c r="K6" s="51">
        <v>0</v>
      </c>
      <c r="L6" s="38">
        <v>5</v>
      </c>
      <c r="M6" s="35">
        <f>(E6*L6)</f>
        <v>83025</v>
      </c>
      <c r="N6" s="38"/>
      <c r="O6" s="35">
        <f>(E6*($O$4+1)*N6)</f>
        <v>0</v>
      </c>
      <c r="P6" s="37"/>
      <c r="Q6" s="35">
        <f t="shared" ref="Q6:Q13" si="1">(E6*($Q$4+1)*P6)</f>
        <v>0</v>
      </c>
      <c r="R6" s="38"/>
      <c r="S6" s="35">
        <f t="shared" ref="S6" si="2">(E6*($S$4+1)*R6)</f>
        <v>0</v>
      </c>
      <c r="T6" s="35"/>
      <c r="U6" s="35">
        <f t="shared" si="0"/>
        <v>0</v>
      </c>
      <c r="V6" s="38"/>
      <c r="W6" s="31">
        <f>(E6*($W$4+1)*V6)</f>
        <v>0</v>
      </c>
      <c r="X6" s="19"/>
      <c r="Y6" s="31">
        <f>(E6*($Y$4+1)*X6)</f>
        <v>0</v>
      </c>
      <c r="Z6" s="31">
        <f t="shared" ref="Z6:Z24" si="3">H6+I6+J6+M6+O6+S6+U6+W6+Y6-K6+Q6</f>
        <v>1677105</v>
      </c>
      <c r="AA6" s="41">
        <v>120000</v>
      </c>
      <c r="AB6" s="133"/>
      <c r="AC6" s="182">
        <f>Z6+AA6-AB6</f>
        <v>1797105</v>
      </c>
      <c r="AD6" s="41">
        <v>0</v>
      </c>
      <c r="AE6" s="134">
        <v>0</v>
      </c>
      <c r="AH6" s="109">
        <v>1489063.8</v>
      </c>
      <c r="AI6" s="236">
        <f>AC6-AH6</f>
        <v>308041.19999999995</v>
      </c>
    </row>
    <row r="7" spans="1:46">
      <c r="A7" s="113" t="s">
        <v>31</v>
      </c>
      <c r="B7" s="28">
        <v>1006011966</v>
      </c>
      <c r="C7" s="207">
        <v>164461378</v>
      </c>
      <c r="D7" s="201">
        <f>B28+80000</f>
        <v>1830905</v>
      </c>
      <c r="E7" s="30">
        <f>F7/7.333</f>
        <v>8322.6737578980865</v>
      </c>
      <c r="F7" s="31">
        <f>D7/30</f>
        <v>61030.166666666664</v>
      </c>
      <c r="G7" s="43">
        <v>15</v>
      </c>
      <c r="H7" s="194">
        <f>G7*F7</f>
        <v>915452.5</v>
      </c>
      <c r="I7" s="49">
        <f>(249095/30)*G7</f>
        <v>124547.49999999999</v>
      </c>
      <c r="J7" s="50"/>
      <c r="K7" s="51">
        <f>((($B$28/2)*8%)/15)*15</f>
        <v>70036.2</v>
      </c>
      <c r="L7" s="38"/>
      <c r="M7" s="173">
        <f>(E7*($M$4+1)*L7)</f>
        <v>0</v>
      </c>
      <c r="N7" s="19"/>
      <c r="O7" s="35">
        <f>(E7*($O$4)*N7)</f>
        <v>0</v>
      </c>
      <c r="P7" s="52"/>
      <c r="Q7" s="35">
        <f t="shared" si="1"/>
        <v>0</v>
      </c>
      <c r="R7" s="38"/>
      <c r="S7" s="35">
        <f>(E7*($S$4)*R7)</f>
        <v>0</v>
      </c>
      <c r="T7" s="35"/>
      <c r="U7" s="35">
        <f>(E7*($U$4)*T7)</f>
        <v>0</v>
      </c>
      <c r="V7" s="38"/>
      <c r="W7" s="31">
        <f>(E7*($W$4)*V7)</f>
        <v>0</v>
      </c>
      <c r="X7" s="19"/>
      <c r="Y7" s="31">
        <f>(E7*($Y$4)*X7)</f>
        <v>0</v>
      </c>
      <c r="Z7" s="31">
        <f>H7+I7+J7+M7+O7+S7+U7+W7+Y7-K7+Q7</f>
        <v>969963.8</v>
      </c>
      <c r="AA7" s="210">
        <v>785475</v>
      </c>
      <c r="AB7" s="41"/>
      <c r="AC7" s="182">
        <f>Z7+AA7-AB7</f>
        <v>1755438.8</v>
      </c>
      <c r="AD7" s="41">
        <v>0</v>
      </c>
      <c r="AE7" s="134">
        <v>0</v>
      </c>
    </row>
    <row r="8" spans="1:46">
      <c r="A8" s="113" t="s">
        <v>32</v>
      </c>
      <c r="B8" s="204">
        <v>1006172144</v>
      </c>
      <c r="C8" s="127">
        <v>445515752</v>
      </c>
      <c r="D8" s="205">
        <f>(1800000*10%)+1800000</f>
        <v>1980000</v>
      </c>
      <c r="E8" s="30">
        <f t="shared" ref="E8:E24" si="4">F8/7.333</f>
        <v>9000.4091095049771</v>
      </c>
      <c r="F8" s="31">
        <f>D8/30</f>
        <v>66000</v>
      </c>
      <c r="G8" s="43">
        <v>15</v>
      </c>
      <c r="H8" s="194">
        <f>G8*F8</f>
        <v>990000</v>
      </c>
      <c r="I8" s="49">
        <f t="shared" ref="I8:I24" si="5">(249095/30)*G8</f>
        <v>124547.49999999999</v>
      </c>
      <c r="J8" s="33"/>
      <c r="K8" s="51">
        <f t="shared" ref="K8:K15" si="6">((($B$28/2)*8%)/15)*15</f>
        <v>70036.2</v>
      </c>
      <c r="L8" s="38"/>
      <c r="M8" s="173">
        <f>(E8*($M$4+1)*L8)</f>
        <v>0</v>
      </c>
      <c r="N8" s="18">
        <v>1</v>
      </c>
      <c r="O8" s="35">
        <v>0</v>
      </c>
      <c r="P8" s="178">
        <v>0</v>
      </c>
      <c r="Q8" s="179">
        <f>(E8*($Q$4+1)*P8)</f>
        <v>0</v>
      </c>
      <c r="R8" s="216">
        <v>1</v>
      </c>
      <c r="S8" s="179">
        <f>(E8*($S$4+1)*R8)</f>
        <v>18000.818219009954</v>
      </c>
      <c r="T8" s="35"/>
      <c r="U8" s="35">
        <f t="shared" ref="U8:U24" si="7">(E8*($U$4)*T8)</f>
        <v>0</v>
      </c>
      <c r="V8" s="38"/>
      <c r="W8" s="31">
        <f>(E8*($W$4)*V8)</f>
        <v>0</v>
      </c>
      <c r="X8" s="19"/>
      <c r="Y8" s="31">
        <f>(E8*($Y$4)*X8)</f>
        <v>0</v>
      </c>
      <c r="Z8" s="31">
        <f>H8+I8+J8+M8+O8+S8+U8+Q8+W8+Y8-K8</f>
        <v>1062512.1182190101</v>
      </c>
      <c r="AA8" s="41">
        <v>21400</v>
      </c>
      <c r="AB8" s="41"/>
      <c r="AC8" s="182">
        <f>Z8+AA8-AB8</f>
        <v>1083912.1182190101</v>
      </c>
      <c r="AD8" s="41">
        <v>0</v>
      </c>
      <c r="AE8" s="134">
        <v>0</v>
      </c>
    </row>
    <row r="9" spans="1:46">
      <c r="A9" s="118" t="s">
        <v>34</v>
      </c>
      <c r="B9" s="95">
        <v>94493221</v>
      </c>
      <c r="C9" s="127">
        <v>166203299</v>
      </c>
      <c r="D9" s="206">
        <v>7000000</v>
      </c>
      <c r="E9" s="30">
        <f t="shared" si="4"/>
        <v>31819.628164916587</v>
      </c>
      <c r="F9" s="31">
        <f t="shared" ref="F9:F24" si="8">D9/30</f>
        <v>233333.33333333334</v>
      </c>
      <c r="G9" s="61">
        <v>15</v>
      </c>
      <c r="H9" s="194">
        <f>G9*F9</f>
        <v>3500000</v>
      </c>
      <c r="I9" s="49"/>
      <c r="J9" s="62"/>
      <c r="K9" s="51">
        <f t="shared" si="6"/>
        <v>70036.2</v>
      </c>
      <c r="L9" s="67"/>
      <c r="M9" s="173">
        <f t="shared" ref="M9:M24" si="9">(E9*($M$4+1)*L9)</f>
        <v>0</v>
      </c>
      <c r="N9" s="69"/>
      <c r="O9" s="35">
        <f t="shared" ref="O9:O25" si="10">(E9*($O$4)*N9)</f>
        <v>0</v>
      </c>
      <c r="P9" s="70"/>
      <c r="Q9" s="35">
        <f>(E9*($Q$4+1)*P9)</f>
        <v>0</v>
      </c>
      <c r="R9" s="71"/>
      <c r="S9" s="35">
        <f t="shared" ref="S8:S24" si="11">(E9*($S$4)*R9)</f>
        <v>0</v>
      </c>
      <c r="T9" s="68"/>
      <c r="U9" s="35">
        <f t="shared" si="7"/>
        <v>0</v>
      </c>
      <c r="V9" s="67"/>
      <c r="W9" s="62">
        <f>(E9*($W$4+1)*V9)</f>
        <v>0</v>
      </c>
      <c r="X9" s="69"/>
      <c r="Y9" s="72">
        <f>(E9*($Y$4+1)*X9)</f>
        <v>0</v>
      </c>
      <c r="Z9" s="31">
        <f>H9+I9+J9+M9+O9+S9+U9+W9+Y9-K9+Q9</f>
        <v>3429963.8</v>
      </c>
      <c r="AA9" s="211"/>
      <c r="AB9" s="203"/>
      <c r="AC9" s="181">
        <f>Z9+AA9-AB9</f>
        <v>3429963.8</v>
      </c>
      <c r="AD9" s="41">
        <v>0</v>
      </c>
      <c r="AE9" s="134">
        <v>0</v>
      </c>
    </row>
    <row r="10" spans="1:46">
      <c r="A10" s="113" t="s">
        <v>35</v>
      </c>
      <c r="B10" s="28">
        <v>1111797488</v>
      </c>
      <c r="C10" s="208">
        <v>487416612</v>
      </c>
      <c r="D10" s="202">
        <f>B28+50000</f>
        <v>1800905</v>
      </c>
      <c r="E10" s="30">
        <f t="shared" si="4"/>
        <v>8186.3039229055858</v>
      </c>
      <c r="F10" s="31">
        <f t="shared" si="8"/>
        <v>60030.166666666664</v>
      </c>
      <c r="G10" s="43">
        <v>14</v>
      </c>
      <c r="H10" s="194">
        <f>G10*F10</f>
        <v>840422.33333333326</v>
      </c>
      <c r="I10" s="49">
        <f t="shared" si="5"/>
        <v>116244.33333333333</v>
      </c>
      <c r="J10" s="33"/>
      <c r="K10" s="51">
        <f t="shared" si="6"/>
        <v>70036.2</v>
      </c>
      <c r="L10" s="38"/>
      <c r="M10" s="173">
        <f>(E10*($M$4+1)*L10)</f>
        <v>0</v>
      </c>
      <c r="N10" s="19"/>
      <c r="O10" s="35">
        <f t="shared" si="10"/>
        <v>0</v>
      </c>
      <c r="P10" s="52"/>
      <c r="Q10" s="35">
        <f t="shared" si="1"/>
        <v>0</v>
      </c>
      <c r="R10" s="38"/>
      <c r="S10" s="35">
        <f t="shared" si="11"/>
        <v>0</v>
      </c>
      <c r="T10" s="35"/>
      <c r="U10" s="35">
        <f t="shared" si="7"/>
        <v>0</v>
      </c>
      <c r="V10" s="38"/>
      <c r="W10" s="31">
        <f>(E10*($W$4)*V10)</f>
        <v>0</v>
      </c>
      <c r="X10" s="19"/>
      <c r="Y10" s="31">
        <f>(E10*($Y$4)*X10)</f>
        <v>0</v>
      </c>
      <c r="Z10" s="60">
        <f>H10+I10+J10+M10+O10+S10+U10+W10+Y10-K10+Q10</f>
        <v>886630.46666666667</v>
      </c>
      <c r="AA10" s="41">
        <v>160000</v>
      </c>
      <c r="AB10" s="212">
        <v>344000</v>
      </c>
      <c r="AC10" s="184">
        <f>Z10+AA10-AB10</f>
        <v>702630.46666666667</v>
      </c>
      <c r="AD10" s="41">
        <v>0</v>
      </c>
      <c r="AE10" s="134">
        <v>0</v>
      </c>
      <c r="AH10" s="76"/>
    </row>
    <row r="11" spans="1:46">
      <c r="A11" s="113" t="s">
        <v>36</v>
      </c>
      <c r="B11" s="77" t="s">
        <v>37</v>
      </c>
      <c r="C11" s="69">
        <v>256524836</v>
      </c>
      <c r="D11" s="203">
        <f>B28+50000</f>
        <v>1800905</v>
      </c>
      <c r="E11" s="30">
        <f t="shared" si="4"/>
        <v>8186.3039229055858</v>
      </c>
      <c r="F11" s="31">
        <f t="shared" si="8"/>
        <v>60030.166666666664</v>
      </c>
      <c r="G11" s="43">
        <v>10</v>
      </c>
      <c r="H11" s="194">
        <f>F11*G11</f>
        <v>600301.66666666663</v>
      </c>
      <c r="I11" s="49">
        <f t="shared" si="5"/>
        <v>83031.666666666657</v>
      </c>
      <c r="J11" s="50"/>
      <c r="K11" s="51">
        <f t="shared" si="6"/>
        <v>70036.2</v>
      </c>
      <c r="L11" s="38"/>
      <c r="M11" s="173">
        <f t="shared" si="9"/>
        <v>0</v>
      </c>
      <c r="N11" s="19"/>
      <c r="O11" s="35">
        <f t="shared" si="10"/>
        <v>0</v>
      </c>
      <c r="P11" s="52"/>
      <c r="Q11" s="35">
        <f t="shared" si="1"/>
        <v>0</v>
      </c>
      <c r="R11" s="38"/>
      <c r="S11" s="35">
        <f t="shared" si="11"/>
        <v>0</v>
      </c>
      <c r="T11" s="35"/>
      <c r="U11" s="35">
        <f t="shared" si="7"/>
        <v>0</v>
      </c>
      <c r="V11" s="38"/>
      <c r="W11" s="31">
        <f>(E11*($W$4+1)*V11)</f>
        <v>0</v>
      </c>
      <c r="X11" s="19"/>
      <c r="Y11" s="31">
        <f>(E11*($Y$4+1)*X11)</f>
        <v>0</v>
      </c>
      <c r="Z11" s="31">
        <f t="shared" si="3"/>
        <v>613297.1333333333</v>
      </c>
      <c r="AA11" s="41">
        <v>130000</v>
      </c>
      <c r="AB11" s="213"/>
      <c r="AC11" s="255">
        <f>Z11+Z12+AA11-AB11</f>
        <v>873260.93333333335</v>
      </c>
      <c r="AD11" s="41">
        <v>0</v>
      </c>
      <c r="AE11" s="134">
        <v>0</v>
      </c>
    </row>
    <row r="12" spans="1:46">
      <c r="A12" s="215" t="s">
        <v>66</v>
      </c>
      <c r="B12" s="77" t="s">
        <v>37</v>
      </c>
      <c r="C12" s="69">
        <v>256524836</v>
      </c>
      <c r="D12" s="214">
        <f>B28</f>
        <v>1750905</v>
      </c>
      <c r="E12" s="30">
        <f t="shared" ref="E12" si="12">F12/7.333</f>
        <v>7959.0208645847533</v>
      </c>
      <c r="F12" s="31">
        <f t="shared" ref="F12" si="13">D12/30</f>
        <v>58363.5</v>
      </c>
      <c r="G12" s="43">
        <v>3</v>
      </c>
      <c r="H12" s="194">
        <f>F12*G12</f>
        <v>175090.5</v>
      </c>
      <c r="I12" s="49">
        <f t="shared" ref="I12" si="14">(249095/30)*G12</f>
        <v>24909.5</v>
      </c>
      <c r="J12" s="50"/>
      <c r="K12" s="51">
        <f t="shared" si="6"/>
        <v>70036.2</v>
      </c>
      <c r="L12" s="38"/>
      <c r="M12" s="173">
        <f t="shared" ref="M12" si="15">(E12*($M$4+1)*L12)</f>
        <v>0</v>
      </c>
      <c r="N12" s="19"/>
      <c r="O12" s="35">
        <f t="shared" ref="O12" si="16">(E12*($O$4)*N12)</f>
        <v>0</v>
      </c>
      <c r="P12" s="52"/>
      <c r="Q12" s="35">
        <f t="shared" ref="Q12" si="17">(E12*($Q$4+1)*P12)</f>
        <v>0</v>
      </c>
      <c r="R12" s="38"/>
      <c r="S12" s="35">
        <f t="shared" ref="S12" si="18">(E12*($S$4)*R12)</f>
        <v>0</v>
      </c>
      <c r="T12" s="35"/>
      <c r="U12" s="35">
        <f t="shared" ref="U12" si="19">(E12*($U$4)*T12)</f>
        <v>0</v>
      </c>
      <c r="V12" s="38"/>
      <c r="W12" s="31">
        <f>(E12*($W$4+1)*V12)</f>
        <v>0</v>
      </c>
      <c r="X12" s="19"/>
      <c r="Y12" s="31">
        <f>(E12*($Y$4+1)*X12)</f>
        <v>0</v>
      </c>
      <c r="Z12" s="31">
        <f t="shared" ref="Z12" si="20">H12+I12+J12+M12+O12+S12+U12+W12+Y12-K12+Q12</f>
        <v>129963.8</v>
      </c>
      <c r="AA12" s="41"/>
      <c r="AB12" s="213"/>
      <c r="AC12" s="256"/>
      <c r="AD12" s="41"/>
      <c r="AE12" s="134"/>
    </row>
    <row r="13" spans="1:46">
      <c r="A13" s="116" t="s">
        <v>38</v>
      </c>
      <c r="B13" s="28">
        <v>1007838659</v>
      </c>
      <c r="C13" s="79">
        <v>487432619</v>
      </c>
      <c r="D13" s="202">
        <f>B28</f>
        <v>1750905</v>
      </c>
      <c r="E13" s="30">
        <f t="shared" si="4"/>
        <v>7959.0208645847533</v>
      </c>
      <c r="F13" s="31">
        <f>D13/30</f>
        <v>58363.5</v>
      </c>
      <c r="G13" s="43">
        <v>15</v>
      </c>
      <c r="H13" s="195">
        <f>G13*F13</f>
        <v>875452.5</v>
      </c>
      <c r="I13" s="49">
        <f t="shared" si="5"/>
        <v>124547.49999999999</v>
      </c>
      <c r="J13" s="167"/>
      <c r="K13" s="51">
        <f t="shared" si="6"/>
        <v>70036.2</v>
      </c>
      <c r="L13" s="38"/>
      <c r="M13" s="173">
        <f t="shared" si="9"/>
        <v>0</v>
      </c>
      <c r="N13" s="19"/>
      <c r="O13" s="35">
        <f t="shared" si="10"/>
        <v>0</v>
      </c>
      <c r="P13" s="81"/>
      <c r="Q13" s="35">
        <f t="shared" si="1"/>
        <v>0</v>
      </c>
      <c r="R13" s="82"/>
      <c r="S13" s="35">
        <f t="shared" si="11"/>
        <v>0</v>
      </c>
      <c r="T13" s="35"/>
      <c r="U13" s="35">
        <f t="shared" si="7"/>
        <v>0</v>
      </c>
      <c r="V13" s="38"/>
      <c r="W13" s="31">
        <f t="shared" ref="W13:W24" si="21">(E13*($W$4)*V13)</f>
        <v>0</v>
      </c>
      <c r="X13" s="19"/>
      <c r="Y13" s="31">
        <f t="shared" ref="Y13:Y24" si="22">(E13*($Y$4)*X13)</f>
        <v>0</v>
      </c>
      <c r="Z13" s="31">
        <f t="shared" si="3"/>
        <v>929963.8</v>
      </c>
      <c r="AA13" s="41">
        <v>180000</v>
      </c>
      <c r="AB13" s="41">
        <v>50000</v>
      </c>
      <c r="AC13" s="218">
        <f>Z13+AA13-AB13</f>
        <v>1059963.8</v>
      </c>
      <c r="AD13" s="41">
        <v>50000</v>
      </c>
      <c r="AE13" s="134">
        <v>0</v>
      </c>
    </row>
    <row r="14" spans="1:46">
      <c r="A14" s="114" t="s">
        <v>39</v>
      </c>
      <c r="B14" s="28">
        <v>1006202963</v>
      </c>
      <c r="C14" s="84" t="s">
        <v>40</v>
      </c>
      <c r="D14" s="202">
        <f>B28+50000</f>
        <v>1800905</v>
      </c>
      <c r="E14" s="30">
        <f t="shared" si="4"/>
        <v>8186.3039229055858</v>
      </c>
      <c r="F14" s="31">
        <f t="shared" si="8"/>
        <v>60030.166666666664</v>
      </c>
      <c r="G14" s="85">
        <v>15</v>
      </c>
      <c r="H14" s="195">
        <f>G14*F14</f>
        <v>900452.5</v>
      </c>
      <c r="I14" s="49">
        <f t="shared" si="5"/>
        <v>124547.49999999999</v>
      </c>
      <c r="J14" s="33"/>
      <c r="K14" s="51">
        <f t="shared" si="6"/>
        <v>70036.2</v>
      </c>
      <c r="L14" s="87">
        <v>15</v>
      </c>
      <c r="M14" s="173">
        <f t="shared" si="9"/>
        <v>153493.19855447972</v>
      </c>
      <c r="N14" s="89"/>
      <c r="O14" s="35">
        <f t="shared" si="10"/>
        <v>0</v>
      </c>
      <c r="P14" s="52">
        <v>9</v>
      </c>
      <c r="Q14" s="35">
        <f>(E14*($Q$4+1)*P14)</f>
        <v>132618.12355107049</v>
      </c>
      <c r="R14" s="90"/>
      <c r="S14" s="35">
        <f t="shared" si="11"/>
        <v>0</v>
      </c>
      <c r="T14" s="88"/>
      <c r="U14" s="35">
        <f t="shared" si="7"/>
        <v>0</v>
      </c>
      <c r="V14" s="87"/>
      <c r="W14" s="60">
        <f t="shared" si="21"/>
        <v>0</v>
      </c>
      <c r="X14" s="89"/>
      <c r="Y14" s="60">
        <f t="shared" si="22"/>
        <v>0</v>
      </c>
      <c r="Z14" s="31">
        <f t="shared" si="3"/>
        <v>1241075.1221055503</v>
      </c>
      <c r="AA14" s="213">
        <v>7200</v>
      </c>
      <c r="AB14" s="41"/>
      <c r="AC14" s="75">
        <f>Z14+AA14-AB14</f>
        <v>1248275.1221055503</v>
      </c>
      <c r="AD14" s="41">
        <v>0</v>
      </c>
      <c r="AE14" s="134">
        <v>0</v>
      </c>
      <c r="AF14" s="109"/>
    </row>
    <row r="15" spans="1:46" ht="100.5">
      <c r="A15" s="117" t="s">
        <v>44</v>
      </c>
      <c r="B15" s="28">
        <v>1018502331</v>
      </c>
      <c r="C15" s="19">
        <v>484605035</v>
      </c>
      <c r="D15" s="138">
        <f>(1800000*10%)+1800000</f>
        <v>1980000</v>
      </c>
      <c r="E15" s="30">
        <f>F15/7.333</f>
        <v>9000.4091095049771</v>
      </c>
      <c r="F15" s="31">
        <f>D15/30</f>
        <v>66000</v>
      </c>
      <c r="G15" s="85">
        <v>15</v>
      </c>
      <c r="H15" s="194">
        <f>G15*F15</f>
        <v>990000</v>
      </c>
      <c r="I15" s="49">
        <f>(249095/30)*G15</f>
        <v>124547.49999999999</v>
      </c>
      <c r="J15" s="86"/>
      <c r="K15" s="51">
        <f t="shared" si="6"/>
        <v>70036.2</v>
      </c>
      <c r="L15" s="87">
        <v>5</v>
      </c>
      <c r="M15" s="190">
        <f>(E15*($M$4+1)*L15)</f>
        <v>56252.556934406108</v>
      </c>
      <c r="N15" s="89"/>
      <c r="O15" s="35">
        <f>(E15*($O$4)*N15)</f>
        <v>0</v>
      </c>
      <c r="P15" s="52"/>
      <c r="Q15" s="35">
        <f>(E15*($Q$4+1)*P15)</f>
        <v>0</v>
      </c>
      <c r="R15" s="90"/>
      <c r="S15" s="35">
        <f>(E15*($S$4)*R15)</f>
        <v>0</v>
      </c>
      <c r="T15" s="88"/>
      <c r="U15" s="35">
        <f>(E15*($U$4)*T15)</f>
        <v>0</v>
      </c>
      <c r="V15" s="87"/>
      <c r="W15" s="60">
        <f>(E15*($W$4)*V15)</f>
        <v>0</v>
      </c>
      <c r="X15" s="89"/>
      <c r="Y15" s="60">
        <f>(E15*($Y$4)*X15)</f>
        <v>0</v>
      </c>
      <c r="Z15" s="31">
        <f>H15+I15+J15+M15+O15+S15+U15+W15+Y15-K15+Q15</f>
        <v>1100763.8569344061</v>
      </c>
      <c r="AA15" s="213">
        <v>7200</v>
      </c>
      <c r="AB15" s="41">
        <v>150000</v>
      </c>
      <c r="AC15" s="182">
        <f>Z15+AA15-AB15</f>
        <v>957963.8569344061</v>
      </c>
      <c r="AD15" s="41">
        <v>0</v>
      </c>
      <c r="AE15" s="180">
        <f>1190000-150000-150000-150000</f>
        <v>740000</v>
      </c>
      <c r="AF15" s="186" t="s">
        <v>74</v>
      </c>
    </row>
    <row r="16" spans="1:46" s="147" customFormat="1">
      <c r="A16" s="146"/>
      <c r="B16" s="28"/>
      <c r="C16" s="79"/>
      <c r="D16" s="143"/>
      <c r="E16" s="30">
        <f t="shared" si="4"/>
        <v>0</v>
      </c>
      <c r="F16" s="31"/>
      <c r="G16" s="85"/>
      <c r="H16" s="196">
        <f>SUM(H5:H14)-H9</f>
        <v>8219652</v>
      </c>
      <c r="I16" s="166"/>
      <c r="J16" s="51"/>
      <c r="K16" s="51"/>
      <c r="L16" s="87"/>
      <c r="M16" s="173">
        <f t="shared" si="9"/>
        <v>0</v>
      </c>
      <c r="N16" s="89"/>
      <c r="O16" s="35">
        <f t="shared" si="10"/>
        <v>0</v>
      </c>
      <c r="P16" s="37"/>
      <c r="Q16" s="101">
        <f>SUM(Q9:Q14)</f>
        <v>132618.12355107049</v>
      </c>
      <c r="R16" s="90"/>
      <c r="S16" s="35">
        <f t="shared" si="11"/>
        <v>0</v>
      </c>
      <c r="T16" s="88"/>
      <c r="U16" s="35">
        <f t="shared" si="7"/>
        <v>0</v>
      </c>
      <c r="V16" s="87"/>
      <c r="W16" s="60"/>
      <c r="X16" s="89"/>
      <c r="Y16" s="60"/>
      <c r="Z16" s="31"/>
      <c r="AA16" s="91"/>
      <c r="AB16" s="45"/>
      <c r="AC16" s="176">
        <f>SUM(AC5:AC15)-AC9</f>
        <v>10837360.097258966</v>
      </c>
      <c r="AD16" s="133" t="s">
        <v>75</v>
      </c>
      <c r="AE16" s="134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</row>
    <row r="17" spans="1:46" s="147" customFormat="1">
      <c r="A17" s="146"/>
      <c r="B17" s="28"/>
      <c r="C17" s="79"/>
      <c r="D17" s="143"/>
      <c r="E17" s="30">
        <f t="shared" si="4"/>
        <v>0</v>
      </c>
      <c r="F17" s="31"/>
      <c r="G17" s="85"/>
      <c r="H17" s="197"/>
      <c r="I17" s="51"/>
      <c r="J17" s="51"/>
      <c r="K17" s="51"/>
      <c r="L17" s="87"/>
      <c r="M17" s="173">
        <f t="shared" si="9"/>
        <v>0</v>
      </c>
      <c r="N17" s="89"/>
      <c r="O17" s="35">
        <f t="shared" si="10"/>
        <v>0</v>
      </c>
      <c r="P17" s="37"/>
      <c r="Q17" s="35">
        <f t="shared" ref="Q17" si="23">(E17*($Q$4)*P17)</f>
        <v>0</v>
      </c>
      <c r="R17" s="90"/>
      <c r="S17" s="35">
        <f t="shared" si="11"/>
        <v>0</v>
      </c>
      <c r="T17" s="88"/>
      <c r="U17" s="35">
        <f t="shared" si="7"/>
        <v>0</v>
      </c>
      <c r="V17" s="87"/>
      <c r="W17" s="60"/>
      <c r="X17" s="89"/>
      <c r="Y17" s="60"/>
      <c r="Z17" s="31"/>
      <c r="AA17" s="91"/>
      <c r="AB17" s="45"/>
      <c r="AC17" s="53"/>
      <c r="AD17" s="133"/>
      <c r="AE17" s="134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</row>
    <row r="18" spans="1:46">
      <c r="A18" s="117" t="s">
        <v>43</v>
      </c>
      <c r="B18" s="28">
        <v>1116242414</v>
      </c>
      <c r="C18" s="79">
        <v>186736849</v>
      </c>
      <c r="D18" s="138">
        <f>(1800000*10%)+1800000</f>
        <v>1980000</v>
      </c>
      <c r="E18" s="30">
        <f t="shared" si="4"/>
        <v>9000.4091095049771</v>
      </c>
      <c r="F18" s="31">
        <f t="shared" si="8"/>
        <v>66000</v>
      </c>
      <c r="G18" s="85">
        <v>15</v>
      </c>
      <c r="H18" s="194">
        <f>G18*F18</f>
        <v>990000</v>
      </c>
      <c r="I18" s="49">
        <f t="shared" si="5"/>
        <v>124547.49999999999</v>
      </c>
      <c r="J18" s="86"/>
      <c r="K18" s="51">
        <f>((($B$28/2)*8%)/15)*G18</f>
        <v>70036.2</v>
      </c>
      <c r="L18" s="87">
        <v>3</v>
      </c>
      <c r="M18" s="173">
        <f t="shared" si="9"/>
        <v>33751.53416064367</v>
      </c>
      <c r="N18" s="89"/>
      <c r="O18" s="35">
        <f t="shared" si="10"/>
        <v>0</v>
      </c>
      <c r="P18" s="52">
        <v>8</v>
      </c>
      <c r="Q18" s="35">
        <f t="shared" ref="Q18:Q24" si="24">(E18*($Q$4+1)*P18)</f>
        <v>129605.89117687168</v>
      </c>
      <c r="R18" s="90"/>
      <c r="S18" s="35">
        <f t="shared" si="11"/>
        <v>0</v>
      </c>
      <c r="T18" s="88"/>
      <c r="U18" s="35">
        <f t="shared" si="7"/>
        <v>0</v>
      </c>
      <c r="V18" s="87"/>
      <c r="W18" s="60">
        <f t="shared" si="21"/>
        <v>0</v>
      </c>
      <c r="X18" s="89"/>
      <c r="Y18" s="60">
        <f t="shared" si="22"/>
        <v>0</v>
      </c>
      <c r="Z18" s="31">
        <f t="shared" si="3"/>
        <v>1207868.7253375154</v>
      </c>
      <c r="AA18" s="91"/>
      <c r="AB18" s="45"/>
      <c r="AC18" s="182">
        <f>Z18+AA18-AB18</f>
        <v>1207868.7253375154</v>
      </c>
      <c r="AD18" s="41">
        <v>0</v>
      </c>
      <c r="AE18" s="47"/>
    </row>
    <row r="19" spans="1:46">
      <c r="A19" s="116" t="s">
        <v>45</v>
      </c>
      <c r="B19" s="28">
        <v>16501191</v>
      </c>
      <c r="C19" s="19">
        <v>186817789</v>
      </c>
      <c r="D19" s="144">
        <f>B28</f>
        <v>1750905</v>
      </c>
      <c r="E19" s="30">
        <f t="shared" si="4"/>
        <v>7959.0208645847533</v>
      </c>
      <c r="F19" s="31">
        <f t="shared" si="8"/>
        <v>58363.5</v>
      </c>
      <c r="G19" s="85">
        <v>15</v>
      </c>
      <c r="H19" s="194">
        <f t="shared" ref="H19:H24" si="25">G19*F19</f>
        <v>875452.5</v>
      </c>
      <c r="I19" s="49">
        <f t="shared" si="5"/>
        <v>124547.49999999999</v>
      </c>
      <c r="J19" s="94"/>
      <c r="K19" s="51">
        <f>((($B$28/2)*8%)/15)*G19</f>
        <v>70036.2</v>
      </c>
      <c r="L19" s="87">
        <v>14</v>
      </c>
      <c r="M19" s="173">
        <f t="shared" si="9"/>
        <v>139282.8651302332</v>
      </c>
      <c r="N19" s="89"/>
      <c r="O19" s="35">
        <f t="shared" si="10"/>
        <v>0</v>
      </c>
      <c r="P19" s="52"/>
      <c r="Q19" s="35">
        <f t="shared" si="24"/>
        <v>0</v>
      </c>
      <c r="R19" s="90"/>
      <c r="S19" s="35">
        <f t="shared" si="11"/>
        <v>0</v>
      </c>
      <c r="T19" s="88"/>
      <c r="U19" s="35">
        <f t="shared" si="7"/>
        <v>0</v>
      </c>
      <c r="V19" s="87"/>
      <c r="W19" s="60">
        <f t="shared" si="21"/>
        <v>0</v>
      </c>
      <c r="X19" s="89"/>
      <c r="Y19" s="60">
        <f t="shared" si="22"/>
        <v>0</v>
      </c>
      <c r="Z19" s="31">
        <f t="shared" si="3"/>
        <v>1069246.6651302332</v>
      </c>
      <c r="AA19" s="91"/>
      <c r="AB19" s="45"/>
      <c r="AC19" s="182">
        <f>Z19+AA19-AB19</f>
        <v>1069246.6651302332</v>
      </c>
      <c r="AD19" s="41">
        <v>0</v>
      </c>
      <c r="AE19" s="47"/>
    </row>
    <row r="20" spans="1:46">
      <c r="A20" s="116" t="s">
        <v>47</v>
      </c>
      <c r="B20" s="28">
        <v>16505237</v>
      </c>
      <c r="C20" s="19">
        <v>186817573</v>
      </c>
      <c r="D20" s="144">
        <f>B28</f>
        <v>1750905</v>
      </c>
      <c r="E20" s="30">
        <f t="shared" si="4"/>
        <v>7959.0208645847533</v>
      </c>
      <c r="F20" s="31">
        <f t="shared" si="8"/>
        <v>58363.5</v>
      </c>
      <c r="G20" s="85">
        <v>15</v>
      </c>
      <c r="H20" s="194">
        <f t="shared" si="25"/>
        <v>875452.5</v>
      </c>
      <c r="I20" s="49">
        <f t="shared" si="5"/>
        <v>124547.49999999999</v>
      </c>
      <c r="J20" s="86"/>
      <c r="K20" s="51">
        <f>((($B$28/2)*8%)/15)*G20</f>
        <v>70036.2</v>
      </c>
      <c r="L20" s="87">
        <v>14</v>
      </c>
      <c r="M20" s="173">
        <f t="shared" si="9"/>
        <v>139282.8651302332</v>
      </c>
      <c r="N20" s="89"/>
      <c r="O20" s="35">
        <f t="shared" si="10"/>
        <v>0</v>
      </c>
      <c r="P20" s="52"/>
      <c r="Q20" s="35">
        <f t="shared" si="24"/>
        <v>0</v>
      </c>
      <c r="R20" s="90"/>
      <c r="S20" s="35">
        <f t="shared" si="11"/>
        <v>0</v>
      </c>
      <c r="T20" s="88"/>
      <c r="U20" s="35">
        <f t="shared" si="7"/>
        <v>0</v>
      </c>
      <c r="V20" s="87"/>
      <c r="W20" s="60">
        <f t="shared" si="21"/>
        <v>0</v>
      </c>
      <c r="X20" s="89"/>
      <c r="Y20" s="60">
        <f t="shared" si="22"/>
        <v>0</v>
      </c>
      <c r="Z20" s="31">
        <f>H20+I20+J20+M20+O20+S20+U20+W20+Y20-K20+Q20</f>
        <v>1069246.6651302332</v>
      </c>
      <c r="AA20" s="91"/>
      <c r="AB20" s="45"/>
      <c r="AC20" s="182">
        <f>Z20+AA20-AB20</f>
        <v>1069246.6651302332</v>
      </c>
      <c r="AD20" s="41">
        <v>0</v>
      </c>
      <c r="AE20" s="47"/>
      <c r="AF20" s="26" t="s">
        <v>76</v>
      </c>
    </row>
    <row r="21" spans="1:46">
      <c r="A21" s="120" t="s">
        <v>48</v>
      </c>
      <c r="B21" s="28">
        <v>1111747391</v>
      </c>
      <c r="C21" s="219">
        <v>186817581</v>
      </c>
      <c r="D21" s="144">
        <f>(B28*C29)+B28</f>
        <v>1840201.155</v>
      </c>
      <c r="E21" s="30">
        <f t="shared" si="4"/>
        <v>8364.9309286785756</v>
      </c>
      <c r="F21" s="31">
        <f t="shared" si="8"/>
        <v>61340.038500000002</v>
      </c>
      <c r="G21" s="85">
        <v>15</v>
      </c>
      <c r="H21" s="194">
        <f>G21*F21</f>
        <v>920100.57750000001</v>
      </c>
      <c r="I21" s="49">
        <f t="shared" si="5"/>
        <v>124547.49999999999</v>
      </c>
      <c r="J21" s="86"/>
      <c r="K21" s="51">
        <f>((($B$28/2)*8%)/15)*G21</f>
        <v>70036.2</v>
      </c>
      <c r="L21" s="87">
        <v>3</v>
      </c>
      <c r="M21" s="173">
        <f t="shared" si="9"/>
        <v>31368.490982544656</v>
      </c>
      <c r="N21" s="89"/>
      <c r="O21" s="35">
        <f t="shared" si="10"/>
        <v>0</v>
      </c>
      <c r="P21" s="52"/>
      <c r="Q21" s="35">
        <f t="shared" si="24"/>
        <v>0</v>
      </c>
      <c r="R21" s="90"/>
      <c r="S21" s="35">
        <f t="shared" si="11"/>
        <v>0</v>
      </c>
      <c r="T21" s="88"/>
      <c r="U21" s="35">
        <f t="shared" si="7"/>
        <v>0</v>
      </c>
      <c r="V21" s="87"/>
      <c r="W21" s="60">
        <f t="shared" si="21"/>
        <v>0</v>
      </c>
      <c r="X21" s="89"/>
      <c r="Y21" s="60">
        <f t="shared" si="22"/>
        <v>0</v>
      </c>
      <c r="Z21" s="31">
        <f t="shared" si="3"/>
        <v>1005980.3684825448</v>
      </c>
      <c r="AA21" s="91"/>
      <c r="AB21" s="45"/>
      <c r="AC21" s="182">
        <f>Z21+AA21-AB21</f>
        <v>1005980.3684825448</v>
      </c>
      <c r="AD21" s="41">
        <v>0</v>
      </c>
      <c r="AE21" s="47"/>
    </row>
    <row r="22" spans="1:46">
      <c r="A22" s="116" t="s">
        <v>49</v>
      </c>
      <c r="B22" s="28">
        <v>1006188943</v>
      </c>
      <c r="C22" s="220">
        <v>186817607</v>
      </c>
      <c r="D22" s="142">
        <f>B28</f>
        <v>1750905</v>
      </c>
      <c r="E22" s="30">
        <f t="shared" si="4"/>
        <v>7959.0208645847533</v>
      </c>
      <c r="F22" s="31">
        <f t="shared" si="8"/>
        <v>58363.5</v>
      </c>
      <c r="G22" s="85">
        <v>13</v>
      </c>
      <c r="H22" s="194">
        <f t="shared" si="25"/>
        <v>758725.5</v>
      </c>
      <c r="I22" s="49">
        <f t="shared" si="5"/>
        <v>107941.16666666666</v>
      </c>
      <c r="J22" s="86"/>
      <c r="K22" s="51">
        <f>((($B$28/2)*8%)/15)*G22</f>
        <v>60698.04</v>
      </c>
      <c r="L22" s="87">
        <v>3</v>
      </c>
      <c r="M22" s="173">
        <f t="shared" si="9"/>
        <v>29846.328242192827</v>
      </c>
      <c r="N22" s="89"/>
      <c r="O22" s="35">
        <f t="shared" si="10"/>
        <v>0</v>
      </c>
      <c r="P22" s="52"/>
      <c r="Q22" s="35">
        <f t="shared" si="24"/>
        <v>0</v>
      </c>
      <c r="R22" s="90"/>
      <c r="S22" s="35">
        <f t="shared" si="11"/>
        <v>0</v>
      </c>
      <c r="T22" s="88"/>
      <c r="U22" s="35">
        <f t="shared" si="7"/>
        <v>0</v>
      </c>
      <c r="V22" s="87"/>
      <c r="W22" s="60">
        <f t="shared" si="21"/>
        <v>0</v>
      </c>
      <c r="X22" s="89"/>
      <c r="Y22" s="60">
        <f t="shared" si="22"/>
        <v>0</v>
      </c>
      <c r="Z22" s="31">
        <f t="shared" si="3"/>
        <v>835814.95490885945</v>
      </c>
      <c r="AA22" s="91"/>
      <c r="AB22" s="45"/>
      <c r="AC22" s="182">
        <f>Z22+AA22-AB22</f>
        <v>835814.95490885945</v>
      </c>
      <c r="AD22" s="41">
        <v>0</v>
      </c>
      <c r="AE22" s="47"/>
      <c r="AG22" s="76"/>
    </row>
    <row r="23" spans="1:46">
      <c r="A23" s="116" t="s">
        <v>50</v>
      </c>
      <c r="B23" s="95">
        <v>1006203947</v>
      </c>
      <c r="C23" s="219">
        <v>186821369</v>
      </c>
      <c r="D23" s="145">
        <f>B28</f>
        <v>1750905</v>
      </c>
      <c r="E23" s="30">
        <f t="shared" si="4"/>
        <v>7959.0208645847533</v>
      </c>
      <c r="F23" s="31">
        <f t="shared" si="8"/>
        <v>58363.5</v>
      </c>
      <c r="G23" s="85">
        <v>15</v>
      </c>
      <c r="H23" s="194">
        <f t="shared" si="25"/>
        <v>875452.5</v>
      </c>
      <c r="I23" s="49">
        <f t="shared" si="5"/>
        <v>124547.49999999999</v>
      </c>
      <c r="J23" s="86"/>
      <c r="K23" s="51">
        <f>((($B$28/2)*8%)/15)*G23</f>
        <v>70036.2</v>
      </c>
      <c r="L23" s="87">
        <v>10</v>
      </c>
      <c r="M23" s="173">
        <f t="shared" si="9"/>
        <v>99487.760807309416</v>
      </c>
      <c r="N23" s="89"/>
      <c r="O23" s="35">
        <f t="shared" si="10"/>
        <v>0</v>
      </c>
      <c r="P23" s="52"/>
      <c r="Q23" s="35">
        <f t="shared" si="24"/>
        <v>0</v>
      </c>
      <c r="R23" s="90"/>
      <c r="S23" s="35">
        <f t="shared" si="11"/>
        <v>0</v>
      </c>
      <c r="T23" s="88"/>
      <c r="U23" s="35">
        <f t="shared" si="7"/>
        <v>0</v>
      </c>
      <c r="V23" s="87"/>
      <c r="W23" s="60">
        <f t="shared" si="21"/>
        <v>0</v>
      </c>
      <c r="X23" s="89"/>
      <c r="Y23" s="60">
        <f t="shared" si="22"/>
        <v>0</v>
      </c>
      <c r="Z23" s="31">
        <f t="shared" si="3"/>
        <v>1029451.5608073093</v>
      </c>
      <c r="AA23" s="91"/>
      <c r="AB23" s="45"/>
      <c r="AC23" s="182">
        <f>Z23+AA23-AB23</f>
        <v>1029451.5608073093</v>
      </c>
      <c r="AD23" s="41">
        <v>0</v>
      </c>
      <c r="AE23" s="47"/>
      <c r="AG23" s="76"/>
    </row>
    <row r="24" spans="1:46">
      <c r="A24" s="119" t="s">
        <v>51</v>
      </c>
      <c r="B24" s="95">
        <v>1111814116</v>
      </c>
      <c r="C24" s="219">
        <v>186821385</v>
      </c>
      <c r="D24" s="143">
        <f>(2000000*C29)+2000000</f>
        <v>2102000</v>
      </c>
      <c r="E24" s="30">
        <f t="shared" si="4"/>
        <v>9554.9797718078098</v>
      </c>
      <c r="F24" s="131">
        <f t="shared" si="8"/>
        <v>70066.666666666672</v>
      </c>
      <c r="G24" s="85">
        <v>15</v>
      </c>
      <c r="H24" s="195">
        <f t="shared" si="25"/>
        <v>1051000</v>
      </c>
      <c r="I24" s="171">
        <f t="shared" si="5"/>
        <v>124547.49999999999</v>
      </c>
      <c r="J24" s="172"/>
      <c r="K24" s="51">
        <f>((($B$28/2)*8%)/15)*G24</f>
        <v>70036.2</v>
      </c>
      <c r="L24" s="87">
        <v>3</v>
      </c>
      <c r="M24" s="173">
        <f t="shared" si="9"/>
        <v>35831.174144279285</v>
      </c>
      <c r="N24" s="89"/>
      <c r="O24" s="35">
        <f t="shared" si="10"/>
        <v>0</v>
      </c>
      <c r="P24" s="52">
        <v>8</v>
      </c>
      <c r="Q24" s="35">
        <f t="shared" si="24"/>
        <v>137591.70871403246</v>
      </c>
      <c r="R24" s="90"/>
      <c r="S24" s="35">
        <f t="shared" si="11"/>
        <v>0</v>
      </c>
      <c r="T24" s="88"/>
      <c r="U24" s="35">
        <f t="shared" si="7"/>
        <v>0</v>
      </c>
      <c r="V24" s="87"/>
      <c r="W24" s="60">
        <f t="shared" si="21"/>
        <v>0</v>
      </c>
      <c r="X24" s="89"/>
      <c r="Y24" s="60">
        <f t="shared" si="22"/>
        <v>0</v>
      </c>
      <c r="Z24" s="31">
        <f t="shared" si="3"/>
        <v>1278934.1828583118</v>
      </c>
      <c r="AA24" s="91"/>
      <c r="AB24" s="45"/>
      <c r="AC24" s="182">
        <f>Z24+AA24-AB24</f>
        <v>1278934.1828583118</v>
      </c>
      <c r="AD24" s="41">
        <v>0</v>
      </c>
      <c r="AE24" s="47"/>
      <c r="AF24" s="217" t="s">
        <v>81</v>
      </c>
      <c r="AG24" s="76"/>
    </row>
    <row r="25" spans="1:46" s="147" customFormat="1">
      <c r="A25" s="146"/>
      <c r="B25" s="95"/>
      <c r="C25" s="19"/>
      <c r="D25" s="148"/>
      <c r="E25" s="149"/>
      <c r="F25" s="94"/>
      <c r="G25" s="85"/>
      <c r="H25" s="198">
        <f>SUM(H18:H24)</f>
        <v>6346183.5775000006</v>
      </c>
      <c r="I25" s="31"/>
      <c r="J25" s="31"/>
      <c r="K25" s="166"/>
      <c r="L25" s="87"/>
      <c r="M25" s="35">
        <f t="shared" ref="M25:M42" si="26">(E25*($M$4)*L25)</f>
        <v>0</v>
      </c>
      <c r="N25" s="89"/>
      <c r="O25" s="35">
        <f t="shared" si="10"/>
        <v>0</v>
      </c>
      <c r="P25" s="152"/>
      <c r="Q25" s="153">
        <f>SUM(Q18:Q24)</f>
        <v>267197.59989090415</v>
      </c>
      <c r="R25" s="90"/>
      <c r="S25" s="88"/>
      <c r="T25" s="88"/>
      <c r="U25" s="88"/>
      <c r="V25" s="87"/>
      <c r="W25" s="60"/>
      <c r="X25" s="89"/>
      <c r="Y25" s="60"/>
      <c r="Z25" s="31"/>
      <c r="AA25" s="91"/>
      <c r="AB25" s="45"/>
      <c r="AC25" s="176">
        <f>SUM(AC18:AC24)</f>
        <v>7496543.1226550061</v>
      </c>
      <c r="AD25" s="92"/>
      <c r="AE25" s="47"/>
      <c r="AG25" s="154"/>
    </row>
    <row r="26" spans="1:46">
      <c r="A26" s="20" t="s">
        <v>52</v>
      </c>
      <c r="B26" s="96"/>
      <c r="C26" s="47"/>
      <c r="D26" s="126"/>
      <c r="E26" s="132">
        <f>SUM(E5:E14)</f>
        <v>122829.66453020593</v>
      </c>
      <c r="F26" s="97">
        <f>SUM(F5:F24)</f>
        <v>1419721.7051666668</v>
      </c>
      <c r="G26" s="98"/>
      <c r="H26" s="199"/>
      <c r="I26" s="100">
        <f>SUM(I5:I14)</f>
        <v>722375.5</v>
      </c>
      <c r="J26" s="100">
        <f>SUM(J5:J24)</f>
        <v>0</v>
      </c>
      <c r="K26" s="170">
        <f>SUM(K5:K14)</f>
        <v>560289.6</v>
      </c>
      <c r="L26" s="20"/>
      <c r="M26" s="100">
        <f>SUM(M18:M25)</f>
        <v>508851.0185974362</v>
      </c>
      <c r="N26" s="20"/>
      <c r="O26" s="100">
        <f>SUM(O5:O14)</f>
        <v>0</v>
      </c>
      <c r="P26" s="99"/>
      <c r="Q26" s="99">
        <f>Q16+Q25</f>
        <v>399815.72344197461</v>
      </c>
      <c r="R26" s="20"/>
      <c r="S26" s="101">
        <f>SUM(S5:S14)</f>
        <v>18000.818219009954</v>
      </c>
      <c r="T26" s="35"/>
      <c r="U26" s="101">
        <f>SUM(U5:U14)</f>
        <v>0</v>
      </c>
      <c r="V26" s="20"/>
      <c r="W26" s="100">
        <f>SUM(W5:W14)</f>
        <v>0</v>
      </c>
      <c r="X26" s="20"/>
      <c r="Y26" s="100">
        <f>SUM(Y5:Y14)</f>
        <v>0</v>
      </c>
      <c r="Z26" s="102">
        <f>SUM(Z5:Z24)</f>
        <v>20899392.019913971</v>
      </c>
      <c r="AA26" s="103">
        <f>SUM(AA5:AA14)</f>
        <v>1451275</v>
      </c>
      <c r="AB26" s="103">
        <f>SUM(AB5:AB14)</f>
        <v>444000</v>
      </c>
      <c r="AC26" s="104">
        <f>AC16+AC25</f>
        <v>18333903.219913974</v>
      </c>
      <c r="AD26" s="58" t="s">
        <v>78</v>
      </c>
      <c r="AE26" s="105"/>
    </row>
    <row r="27" spans="1:46" ht="15">
      <c r="A27" s="247" t="s">
        <v>54</v>
      </c>
      <c r="B27" s="247"/>
      <c r="C27" s="247"/>
      <c r="D27" s="247"/>
      <c r="E27" s="247"/>
      <c r="F27" s="247"/>
      <c r="G27" s="247"/>
      <c r="H27" s="247"/>
      <c r="I27" s="247"/>
      <c r="AC27" s="154"/>
    </row>
    <row r="28" spans="1:46" ht="15">
      <c r="A28" s="21" t="s">
        <v>55</v>
      </c>
      <c r="B28" s="22">
        <v>1750905</v>
      </c>
      <c r="C28" s="135" t="s">
        <v>56</v>
      </c>
      <c r="D28" s="16"/>
      <c r="E28" s="16"/>
      <c r="F28" s="16"/>
      <c r="G28" s="16"/>
      <c r="H28" s="16"/>
      <c r="I28" s="16"/>
      <c r="AC28" s="154"/>
      <c r="AD28" s="185"/>
    </row>
    <row r="29" spans="1:46" ht="15">
      <c r="A29" s="23" t="s">
        <v>57</v>
      </c>
      <c r="B29" s="24">
        <v>249095</v>
      </c>
      <c r="C29" s="136">
        <v>5.0999999999999997E-2</v>
      </c>
      <c r="D29" s="16"/>
      <c r="E29" s="16"/>
      <c r="F29" s="16"/>
      <c r="G29" s="16"/>
      <c r="H29" s="16"/>
      <c r="I29" s="16"/>
      <c r="AC29" s="154"/>
      <c r="AE29" s="106"/>
    </row>
    <row r="30" spans="1:46" ht="15">
      <c r="A30" s="16"/>
      <c r="B30" s="16"/>
      <c r="C30" s="16"/>
      <c r="D30" s="16"/>
      <c r="E30" s="16"/>
      <c r="F30" s="16"/>
      <c r="G30" s="16"/>
      <c r="H30" s="16"/>
      <c r="I30" s="16"/>
      <c r="AC30" s="183"/>
      <c r="AE30" s="106"/>
    </row>
    <row r="31" spans="1:46" ht="29.25">
      <c r="A31" s="125" t="s">
        <v>58</v>
      </c>
      <c r="B31" s="16"/>
      <c r="C31" s="16"/>
      <c r="D31" s="16"/>
      <c r="E31" s="16"/>
      <c r="F31" s="16"/>
      <c r="G31" s="16"/>
      <c r="H31" s="16"/>
      <c r="I31" s="16"/>
      <c r="AC31" s="154"/>
      <c r="AE31" s="106"/>
      <c r="AG31" s="107"/>
    </row>
    <row r="32" spans="1:46" ht="15">
      <c r="A32" s="245" t="s">
        <v>59</v>
      </c>
      <c r="B32" s="16"/>
      <c r="C32" s="16"/>
      <c r="D32" s="16"/>
      <c r="E32" s="16"/>
      <c r="F32" s="16"/>
      <c r="G32" s="16"/>
      <c r="H32" s="16"/>
      <c r="I32" s="16"/>
      <c r="M32" s="249" t="s">
        <v>60</v>
      </c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AC32" s="147"/>
      <c r="AE32" s="106"/>
    </row>
    <row r="33" spans="1:31" ht="15">
      <c r="A33" s="245"/>
      <c r="B33" s="16"/>
      <c r="C33" s="16"/>
      <c r="D33" s="16"/>
      <c r="E33" s="16"/>
      <c r="F33" s="16"/>
      <c r="G33" s="16"/>
      <c r="H33" s="16"/>
      <c r="I33" s="16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AC33" s="147"/>
      <c r="AE33" s="106"/>
    </row>
    <row r="34" spans="1:31">
      <c r="F34" s="108"/>
      <c r="M34" s="249"/>
      <c r="N34" s="249"/>
      <c r="O34" s="249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AC34" s="147"/>
      <c r="AE34" s="106"/>
    </row>
    <row r="35" spans="1:31">
      <c r="M35" s="250" t="s">
        <v>61</v>
      </c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AE35" s="106"/>
    </row>
    <row r="36" spans="1:31">
      <c r="J36" s="109"/>
      <c r="AE36" s="106"/>
    </row>
    <row r="37" spans="1:31">
      <c r="F37" s="108"/>
      <c r="J37" s="109"/>
      <c r="AE37" s="106"/>
    </row>
    <row r="38" spans="1:31">
      <c r="J38" s="109"/>
      <c r="AE38" s="106"/>
    </row>
    <row r="39" spans="1:31" ht="43.5" customHeight="1">
      <c r="D39" s="248" t="s">
        <v>62</v>
      </c>
      <c r="E39" s="248"/>
      <c r="F39" s="248"/>
      <c r="G39" s="26">
        <v>8</v>
      </c>
      <c r="AE39" s="106"/>
    </row>
    <row r="40" spans="1:31">
      <c r="J40" s="109"/>
      <c r="AE40" s="106"/>
    </row>
  </sheetData>
  <mergeCells count="10">
    <mergeCell ref="AD3:AE3"/>
    <mergeCell ref="A27:I27"/>
    <mergeCell ref="A32:A33"/>
    <mergeCell ref="M32:Y34"/>
    <mergeCell ref="M35:Y35"/>
    <mergeCell ref="D39:F39"/>
    <mergeCell ref="AC11:AC12"/>
    <mergeCell ref="A1:AC1"/>
    <mergeCell ref="A2:AC2"/>
    <mergeCell ref="A3:AC3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6756-713B-450F-8E37-AFB32DD95936}">
  <dimension ref="A1:AT39"/>
  <sheetViews>
    <sheetView workbookViewId="0">
      <pane xSplit="3" topLeftCell="Z1" activePane="topRight" state="frozen"/>
      <selection pane="topRight" activeCell="B14" sqref="B14"/>
    </sheetView>
  </sheetViews>
  <sheetFormatPr defaultRowHeight="13.5"/>
  <cols>
    <col min="1" max="1" width="48.7109375" style="26" customWidth="1"/>
    <col min="2" max="2" width="12.140625" style="26" bestFit="1" customWidth="1"/>
    <col min="3" max="3" width="17.5703125" style="26" customWidth="1"/>
    <col min="4" max="4" width="15.7109375" style="26" customWidth="1"/>
    <col min="5" max="5" width="11" style="26" customWidth="1"/>
    <col min="6" max="6" width="13.28515625" style="26" customWidth="1"/>
    <col min="7" max="7" width="12.28515625" style="26" customWidth="1"/>
    <col min="8" max="8" width="12.7109375" style="26" customWidth="1"/>
    <col min="9" max="9" width="12.28515625" style="26" customWidth="1"/>
    <col min="10" max="10" width="13.85546875" style="26" customWidth="1"/>
    <col min="11" max="11" width="15.28515625" style="26" customWidth="1"/>
    <col min="12" max="12" width="9.140625" style="26"/>
    <col min="13" max="13" width="12.42578125" style="26" customWidth="1"/>
    <col min="14" max="16" width="9.140625" style="26"/>
    <col min="17" max="17" width="12.140625" style="26" customWidth="1"/>
    <col min="18" max="24" width="9.140625" style="26"/>
    <col min="25" max="25" width="10.85546875" style="26" customWidth="1"/>
    <col min="26" max="26" width="13.5703125" style="26" bestFit="1" customWidth="1"/>
    <col min="27" max="27" width="16.5703125" style="26" customWidth="1"/>
    <col min="28" max="28" width="14.85546875" style="26" customWidth="1"/>
    <col min="29" max="29" width="14.42578125" style="26" customWidth="1"/>
    <col min="30" max="30" width="18.28515625" style="26" customWidth="1"/>
    <col min="31" max="31" width="15.28515625" style="26" customWidth="1"/>
    <col min="32" max="32" width="14.7109375" style="26" customWidth="1"/>
    <col min="33" max="33" width="36.5703125" style="26" bestFit="1" customWidth="1"/>
    <col min="34" max="16384" width="9.140625" style="26"/>
  </cols>
  <sheetData>
    <row r="1" spans="1:46" ht="2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"/>
    </row>
    <row r="2" spans="1:46" ht="21">
      <c r="A2" s="252" t="s">
        <v>79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7"/>
    </row>
    <row r="3" spans="1:46" ht="21">
      <c r="A3" s="251" t="s">
        <v>2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46" t="s">
        <v>3</v>
      </c>
      <c r="AE3" s="246"/>
    </row>
    <row r="4" spans="1:46" ht="38.25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4" t="s">
        <v>72</v>
      </c>
      <c r="K4" s="3" t="s">
        <v>65</v>
      </c>
      <c r="L4" s="5" t="s">
        <v>15</v>
      </c>
      <c r="M4" s="6">
        <v>0.25</v>
      </c>
      <c r="N4" s="7" t="s">
        <v>16</v>
      </c>
      <c r="O4" s="8">
        <v>0.75</v>
      </c>
      <c r="P4" s="9" t="s">
        <v>17</v>
      </c>
      <c r="Q4" s="9">
        <v>0.8</v>
      </c>
      <c r="R4" s="10" t="s">
        <v>18</v>
      </c>
      <c r="S4" s="11">
        <v>1</v>
      </c>
      <c r="T4" s="12" t="s">
        <v>19</v>
      </c>
      <c r="U4" s="12">
        <v>1.1000000000000001</v>
      </c>
      <c r="V4" s="5" t="s">
        <v>20</v>
      </c>
      <c r="W4" s="6">
        <v>1.5</v>
      </c>
      <c r="X4" s="4" t="s">
        <v>21</v>
      </c>
      <c r="Y4" s="9">
        <v>0.35</v>
      </c>
      <c r="Z4" s="13" t="s">
        <v>22</v>
      </c>
      <c r="AA4" s="3" t="s">
        <v>23</v>
      </c>
      <c r="AB4" s="14" t="s">
        <v>24</v>
      </c>
      <c r="AC4" s="158" t="s">
        <v>25</v>
      </c>
      <c r="AD4" s="14" t="s">
        <v>26</v>
      </c>
      <c r="AE4" s="15" t="s">
        <v>27</v>
      </c>
    </row>
    <row r="5" spans="1:46">
      <c r="A5" s="17" t="s">
        <v>28</v>
      </c>
      <c r="B5" s="28">
        <v>94558569</v>
      </c>
      <c r="C5" s="29" t="s">
        <v>29</v>
      </c>
      <c r="D5" s="200"/>
      <c r="E5" s="30">
        <f>F5/8</f>
        <v>16605</v>
      </c>
      <c r="F5" s="31">
        <v>132840</v>
      </c>
      <c r="G5" s="32">
        <v>11</v>
      </c>
      <c r="H5" s="194">
        <f>F5*G5</f>
        <v>1461240</v>
      </c>
      <c r="I5" s="31"/>
      <c r="J5" s="33"/>
      <c r="K5" s="51">
        <v>0</v>
      </c>
      <c r="L5" s="34">
        <v>1</v>
      </c>
      <c r="M5" s="35">
        <f>(E5*L5)</f>
        <v>16605</v>
      </c>
      <c r="N5" s="36"/>
      <c r="O5" s="35">
        <f>(E5*($O$4+1)*N5)</f>
        <v>0</v>
      </c>
      <c r="P5" s="37"/>
      <c r="Q5" s="35">
        <f>(E5*($Q$4+1)*P5)</f>
        <v>0</v>
      </c>
      <c r="R5" s="38"/>
      <c r="S5" s="35">
        <f>(E5*($S$4+1)*R5)</f>
        <v>0</v>
      </c>
      <c r="T5" s="35"/>
      <c r="U5" s="35">
        <f t="shared" ref="U5:U6" si="0">(E5*($U$4+1)*T5)</f>
        <v>0</v>
      </c>
      <c r="V5" s="38"/>
      <c r="W5" s="31">
        <f>(E5*($W$4+1)*V5)</f>
        <v>0</v>
      </c>
      <c r="X5" s="38"/>
      <c r="Y5" s="31">
        <f>(E5*($Y$4+1)*X5)</f>
        <v>0</v>
      </c>
      <c r="Z5" s="31">
        <f>H5+I5+J5+M5+O5+S5+U5+W5+Y5-K5+Q5</f>
        <v>1477845</v>
      </c>
      <c r="AA5" s="133"/>
      <c r="AB5" s="209"/>
      <c r="AC5" s="182">
        <f>Z5+AA5-AB5</f>
        <v>1477845</v>
      </c>
      <c r="AD5" s="41"/>
      <c r="AE5" s="134">
        <v>0</v>
      </c>
      <c r="AF5" s="53">
        <v>1231538</v>
      </c>
      <c r="AG5" s="159">
        <f>AC5-AF5</f>
        <v>246307</v>
      </c>
    </row>
    <row r="6" spans="1:46">
      <c r="A6" s="17" t="s">
        <v>30</v>
      </c>
      <c r="B6" s="28">
        <v>6163973</v>
      </c>
      <c r="C6" s="42">
        <v>142184027</v>
      </c>
      <c r="D6" s="201"/>
      <c r="E6" s="30">
        <f>F6/8</f>
        <v>16605</v>
      </c>
      <c r="F6" s="31">
        <v>132840</v>
      </c>
      <c r="G6" s="43">
        <v>15</v>
      </c>
      <c r="H6" s="194">
        <f>G6*F6</f>
        <v>1992600</v>
      </c>
      <c r="I6" s="31"/>
      <c r="J6" s="33"/>
      <c r="K6" s="51">
        <v>0</v>
      </c>
      <c r="L6" s="38">
        <v>5</v>
      </c>
      <c r="M6" s="35">
        <f>(E6*L6)</f>
        <v>83025</v>
      </c>
      <c r="N6" s="38"/>
      <c r="O6" s="35">
        <f>(E6*($O$4+1)*N6)</f>
        <v>0</v>
      </c>
      <c r="P6" s="37"/>
      <c r="Q6" s="35">
        <f t="shared" ref="Q6:Q12" si="1">(E6*($Q$4+1)*P6)</f>
        <v>0</v>
      </c>
      <c r="R6" s="38"/>
      <c r="S6" s="35">
        <f t="shared" ref="S6" si="2">(E6*($S$4+1)*R6)</f>
        <v>0</v>
      </c>
      <c r="T6" s="35"/>
      <c r="U6" s="35">
        <f t="shared" si="0"/>
        <v>0</v>
      </c>
      <c r="V6" s="38"/>
      <c r="W6" s="31">
        <f>(E6*($W$4+1)*V6)</f>
        <v>0</v>
      </c>
      <c r="X6" s="19"/>
      <c r="Y6" s="31">
        <f>(E6*($Y$4+1)*X6)</f>
        <v>0</v>
      </c>
      <c r="Z6" s="31">
        <f t="shared" ref="Z6:Z23" si="3">H6+I6+J6+M6+O6+S6+U6+W6+Y6-K6+Q6</f>
        <v>2075625</v>
      </c>
      <c r="AA6" s="41">
        <v>60000</v>
      </c>
      <c r="AB6" s="133">
        <v>200000</v>
      </c>
      <c r="AC6" s="182">
        <f>Z6+AA6-AB6</f>
        <v>1935625</v>
      </c>
      <c r="AD6" s="41">
        <v>400000</v>
      </c>
      <c r="AE6" s="134">
        <f>AD6-200000</f>
        <v>200000</v>
      </c>
      <c r="AF6" s="109">
        <v>1561163.8</v>
      </c>
      <c r="AG6" s="238">
        <f>AC6-AF6</f>
        <v>374461.19999999995</v>
      </c>
    </row>
    <row r="7" spans="1:46">
      <c r="A7" s="113" t="s">
        <v>31</v>
      </c>
      <c r="B7" s="28">
        <v>1006011966</v>
      </c>
      <c r="C7" s="207">
        <v>164461378</v>
      </c>
      <c r="D7" s="201">
        <f>B27+80000</f>
        <v>1830905</v>
      </c>
      <c r="E7" s="30">
        <f>F7/7.333</f>
        <v>8322.6737578980865</v>
      </c>
      <c r="F7" s="31">
        <f>D7/30</f>
        <v>61030.166666666664</v>
      </c>
      <c r="G7" s="43">
        <v>15</v>
      </c>
      <c r="H7" s="194">
        <f>G7*F7</f>
        <v>915452.5</v>
      </c>
      <c r="I7" s="49">
        <f>(249095/30)*G7</f>
        <v>124547.49999999999</v>
      </c>
      <c r="J7" s="50"/>
      <c r="K7" s="51">
        <f>((($B$27/2)*8%)/15)*G7</f>
        <v>70036.2</v>
      </c>
      <c r="L7" s="38"/>
      <c r="M7" s="173">
        <f>(E7*($M$4+1)*L7)</f>
        <v>0</v>
      </c>
      <c r="N7" s="19"/>
      <c r="O7" s="35">
        <f>(E7*($O$4)*N7)</f>
        <v>0</v>
      </c>
      <c r="P7" s="52"/>
      <c r="Q7" s="35">
        <f t="shared" si="1"/>
        <v>0</v>
      </c>
      <c r="R7" s="38"/>
      <c r="S7" s="35">
        <f>(E7*($S$4)*R7)</f>
        <v>0</v>
      </c>
      <c r="T7" s="35"/>
      <c r="U7" s="35">
        <f>(E7*($U$4)*T7)</f>
        <v>0</v>
      </c>
      <c r="V7" s="38"/>
      <c r="W7" s="31">
        <f>(E7*($W$4)*V7)</f>
        <v>0</v>
      </c>
      <c r="X7" s="19"/>
      <c r="Y7" s="31">
        <f>(E7*($Y$4)*X7)</f>
        <v>0</v>
      </c>
      <c r="Z7" s="31">
        <f>H7+I7+J7+M7+O7+S7+U7+W7+Y7-K7+Q7</f>
        <v>969963.8</v>
      </c>
      <c r="AA7" s="210">
        <f>480321+36000</f>
        <v>516321</v>
      </c>
      <c r="AB7" s="41"/>
      <c r="AC7" s="182">
        <f>Z7+AA7-AB7</f>
        <v>1486284.8</v>
      </c>
      <c r="AD7" s="41">
        <v>0</v>
      </c>
      <c r="AE7" s="134">
        <v>0</v>
      </c>
    </row>
    <row r="8" spans="1:46">
      <c r="A8" s="113" t="s">
        <v>32</v>
      </c>
      <c r="B8" s="204">
        <v>1006172144</v>
      </c>
      <c r="C8" s="127">
        <v>445515752</v>
      </c>
      <c r="D8" s="205">
        <f>(1800000*10%)+1800000</f>
        <v>1980000</v>
      </c>
      <c r="E8" s="30">
        <f t="shared" ref="E8:E23" si="4">F8/7.333</f>
        <v>9000.4091095049771</v>
      </c>
      <c r="F8" s="31">
        <f>D8/30</f>
        <v>66000</v>
      </c>
      <c r="G8" s="43">
        <v>15</v>
      </c>
      <c r="H8" s="194">
        <f>G8*F8</f>
        <v>990000</v>
      </c>
      <c r="I8" s="49">
        <f t="shared" ref="I8:I23" si="5">(249095/30)*G8</f>
        <v>124547.49999999999</v>
      </c>
      <c r="J8" s="33"/>
      <c r="K8" s="51">
        <f>((($B$27/2)*8%)/15)*G8</f>
        <v>70036.2</v>
      </c>
      <c r="L8" s="38">
        <v>1</v>
      </c>
      <c r="M8" s="173">
        <f>(E8*($M$4+1)*L8)</f>
        <v>11250.511386881222</v>
      </c>
      <c r="N8" s="18">
        <v>1</v>
      </c>
      <c r="O8" s="35">
        <v>0</v>
      </c>
      <c r="P8" s="178">
        <v>1</v>
      </c>
      <c r="Q8" s="179">
        <f>(E8*($Q$4+1)*P8)</f>
        <v>16200.73639710896</v>
      </c>
      <c r="R8" s="216">
        <v>1</v>
      </c>
      <c r="S8" s="179">
        <f>(E8*($S$4+1)*R8)</f>
        <v>18000.818219009954</v>
      </c>
      <c r="T8" s="35"/>
      <c r="U8" s="35">
        <f t="shared" ref="U8:U23" si="6">(E8*($U$4)*T8)</f>
        <v>0</v>
      </c>
      <c r="V8" s="38"/>
      <c r="W8" s="31">
        <f>(E8*($W$4)*V8)</f>
        <v>0</v>
      </c>
      <c r="X8" s="19"/>
      <c r="Y8" s="31">
        <f>(E8*($Y$4)*X8)</f>
        <v>0</v>
      </c>
      <c r="Z8" s="31">
        <f>H8+I8+J8+M8+O8+S8+U8+Q8+W8+Y8-K8</f>
        <v>1089963.3660030002</v>
      </c>
      <c r="AA8" s="41"/>
      <c r="AB8" s="41"/>
      <c r="AC8" s="182">
        <f>Z8+AA8-AB8</f>
        <v>1089963.3660030002</v>
      </c>
      <c r="AD8" s="41">
        <v>0</v>
      </c>
      <c r="AE8" s="134">
        <v>0</v>
      </c>
    </row>
    <row r="9" spans="1:46">
      <c r="A9" s="118" t="s">
        <v>34</v>
      </c>
      <c r="B9" s="95">
        <v>94493221</v>
      </c>
      <c r="C9" s="127">
        <v>166203299</v>
      </c>
      <c r="D9" s="206">
        <v>7000000</v>
      </c>
      <c r="E9" s="30">
        <f t="shared" si="4"/>
        <v>31819.628164916587</v>
      </c>
      <c r="F9" s="31">
        <f t="shared" ref="F9:F23" si="7">D9/30</f>
        <v>233333.33333333334</v>
      </c>
      <c r="G9" s="61">
        <v>15</v>
      </c>
      <c r="H9" s="194">
        <f>G9*F9</f>
        <v>3500000</v>
      </c>
      <c r="I9" s="49"/>
      <c r="J9" s="62"/>
      <c r="K9" s="51">
        <f>((($B$27/2)*8%)/15)*G9</f>
        <v>70036.2</v>
      </c>
      <c r="L9" s="67"/>
      <c r="M9" s="173">
        <f t="shared" ref="M9:M23" si="8">(E9*($M$4+1)*L9)</f>
        <v>0</v>
      </c>
      <c r="N9" s="69"/>
      <c r="O9" s="35">
        <f t="shared" ref="O9:O24" si="9">(E9*($O$4)*N9)</f>
        <v>0</v>
      </c>
      <c r="P9" s="70"/>
      <c r="Q9" s="35">
        <f>(E9*($Q$4+1)*P9)</f>
        <v>0</v>
      </c>
      <c r="R9" s="71"/>
      <c r="S9" s="35">
        <f t="shared" ref="S9:S23" si="10">(E9*($S$4)*R9)</f>
        <v>0</v>
      </c>
      <c r="T9" s="68"/>
      <c r="U9" s="35">
        <f t="shared" si="6"/>
        <v>0</v>
      </c>
      <c r="V9" s="67"/>
      <c r="W9" s="62">
        <f>(E9*($W$4+1)*V9)</f>
        <v>0</v>
      </c>
      <c r="X9" s="69"/>
      <c r="Y9" s="72">
        <f>(E9*($Y$4+1)*X9)</f>
        <v>0</v>
      </c>
      <c r="Z9" s="31">
        <f>H9+I9+J9+M9+O9+S9+U9+W9+Y9-K9+Q9</f>
        <v>3429963.8</v>
      </c>
      <c r="AA9" s="211"/>
      <c r="AB9" s="203"/>
      <c r="AC9" s="181">
        <f>Z9+AA9-AB9</f>
        <v>3429963.8</v>
      </c>
      <c r="AD9" s="41">
        <v>0</v>
      </c>
      <c r="AE9" s="134">
        <v>0</v>
      </c>
    </row>
    <row r="10" spans="1:46">
      <c r="A10" s="113" t="s">
        <v>35</v>
      </c>
      <c r="B10" s="28">
        <v>1111797488</v>
      </c>
      <c r="C10" s="208">
        <v>487416612</v>
      </c>
      <c r="D10" s="202">
        <f>B27+50000</f>
        <v>1800905</v>
      </c>
      <c r="E10" s="30">
        <f t="shared" si="4"/>
        <v>8186.3039229055858</v>
      </c>
      <c r="F10" s="31">
        <f t="shared" si="7"/>
        <v>60030.166666666664</v>
      </c>
      <c r="G10" s="43">
        <v>15</v>
      </c>
      <c r="H10" s="194">
        <f>G10*F10</f>
        <v>900452.5</v>
      </c>
      <c r="I10" s="49">
        <f t="shared" si="5"/>
        <v>124547.49999999999</v>
      </c>
      <c r="J10" s="33"/>
      <c r="K10" s="51">
        <f>((($B$27/2)*8%)/15)*G10</f>
        <v>70036.2</v>
      </c>
      <c r="L10" s="38">
        <v>9</v>
      </c>
      <c r="M10" s="173">
        <f>(E10*($M$4+1)*L10)</f>
        <v>92095.919132687835</v>
      </c>
      <c r="N10" s="19"/>
      <c r="O10" s="35">
        <f t="shared" si="9"/>
        <v>0</v>
      </c>
      <c r="P10" s="52">
        <v>18</v>
      </c>
      <c r="Q10" s="35">
        <f>(E10*($Q$4+1)*P10)</f>
        <v>265236.24710214097</v>
      </c>
      <c r="R10" s="38"/>
      <c r="S10" s="35">
        <f t="shared" si="10"/>
        <v>0</v>
      </c>
      <c r="T10" s="35"/>
      <c r="U10" s="35">
        <f t="shared" si="6"/>
        <v>0</v>
      </c>
      <c r="V10" s="38"/>
      <c r="W10" s="31">
        <f>(E10*($W$4)*V10)</f>
        <v>0</v>
      </c>
      <c r="X10" s="19"/>
      <c r="Y10" s="31">
        <f>(E10*($Y$4)*X10)</f>
        <v>0</v>
      </c>
      <c r="Z10" s="60">
        <f>H10+I10+J10+M10+O10+S10+U10+W10+Y10-K10+Q10</f>
        <v>1312295.9662348288</v>
      </c>
      <c r="AA10" s="41">
        <v>60000</v>
      </c>
      <c r="AB10" s="212">
        <v>200000</v>
      </c>
      <c r="AC10" s="184">
        <f>Z10+AA10-AB10</f>
        <v>1172295.9662348288</v>
      </c>
      <c r="AD10" s="41">
        <v>200000</v>
      </c>
      <c r="AE10" s="134">
        <v>0</v>
      </c>
      <c r="AH10" s="76"/>
    </row>
    <row r="11" spans="1:46" s="230" customFormat="1">
      <c r="A11" s="221" t="s">
        <v>36</v>
      </c>
      <c r="B11" s="222" t="s">
        <v>37</v>
      </c>
      <c r="C11" s="223">
        <v>256524836</v>
      </c>
      <c r="D11" s="224">
        <f>B27+50000</f>
        <v>1800905</v>
      </c>
      <c r="E11" s="30">
        <f t="shared" si="4"/>
        <v>8186.3039229055858</v>
      </c>
      <c r="F11" s="31">
        <f t="shared" si="7"/>
        <v>60030.166666666664</v>
      </c>
      <c r="G11" s="43">
        <v>11</v>
      </c>
      <c r="H11" s="31">
        <f>F11*G11</f>
        <v>660331.83333333326</v>
      </c>
      <c r="I11" s="49">
        <f t="shared" si="5"/>
        <v>91334.833333333328</v>
      </c>
      <c r="J11" s="50"/>
      <c r="K11" s="51">
        <f>((($B$27/2)*8%)/15)*15</f>
        <v>70036.2</v>
      </c>
      <c r="L11" s="38">
        <v>1</v>
      </c>
      <c r="M11" s="173">
        <f t="shared" si="8"/>
        <v>10232.879903631982</v>
      </c>
      <c r="N11" s="225"/>
      <c r="O11" s="226">
        <f t="shared" si="9"/>
        <v>0</v>
      </c>
      <c r="P11" s="227"/>
      <c r="Q11" s="226">
        <f t="shared" si="1"/>
        <v>0</v>
      </c>
      <c r="R11" s="38"/>
      <c r="S11" s="226">
        <f t="shared" si="10"/>
        <v>0</v>
      </c>
      <c r="T11" s="226"/>
      <c r="U11" s="226">
        <f t="shared" si="6"/>
        <v>0</v>
      </c>
      <c r="V11" s="38"/>
      <c r="W11" s="31">
        <f>(E11*($W$4+1)*V11)</f>
        <v>0</v>
      </c>
      <c r="X11" s="225"/>
      <c r="Y11" s="31">
        <f>(E11*($Y$4+1)*X11)</f>
        <v>0</v>
      </c>
      <c r="Z11" s="60">
        <f>H11+I11+J11+M11+O11+S11+U11+W11+Y11-K11+Q11</f>
        <v>691863.34657029866</v>
      </c>
      <c r="AA11" s="228">
        <v>38000</v>
      </c>
      <c r="AB11" s="229">
        <v>100000</v>
      </c>
      <c r="AC11" s="184">
        <f>Z11+AA11-AB11</f>
        <v>629863.34657029866</v>
      </c>
      <c r="AD11" s="228">
        <v>100000</v>
      </c>
      <c r="AE11" s="134">
        <v>0</v>
      </c>
    </row>
    <row r="12" spans="1:46">
      <c r="A12" s="116" t="s">
        <v>38</v>
      </c>
      <c r="B12" s="28">
        <v>1007838659</v>
      </c>
      <c r="C12" s="79">
        <v>487432619</v>
      </c>
      <c r="D12" s="202">
        <f>B27</f>
        <v>1750905</v>
      </c>
      <c r="E12" s="30">
        <f t="shared" si="4"/>
        <v>7959.0208645847533</v>
      </c>
      <c r="F12" s="31">
        <f>D12/30</f>
        <v>58363.5</v>
      </c>
      <c r="G12" s="43">
        <v>15</v>
      </c>
      <c r="H12" s="195">
        <f>G12*F12</f>
        <v>875452.5</v>
      </c>
      <c r="I12" s="49">
        <f t="shared" si="5"/>
        <v>124547.49999999999</v>
      </c>
      <c r="J12" s="167"/>
      <c r="K12" s="51">
        <f>((($B$27/2)*8%)/15)*G12</f>
        <v>70036.2</v>
      </c>
      <c r="L12" s="38">
        <v>4</v>
      </c>
      <c r="M12" s="173">
        <f t="shared" si="8"/>
        <v>39795.104322923769</v>
      </c>
      <c r="N12" s="19"/>
      <c r="O12" s="35">
        <f t="shared" si="9"/>
        <v>0</v>
      </c>
      <c r="P12" s="81"/>
      <c r="Q12" s="35">
        <f t="shared" si="1"/>
        <v>0</v>
      </c>
      <c r="R12" s="82"/>
      <c r="S12" s="35">
        <f t="shared" si="10"/>
        <v>0</v>
      </c>
      <c r="T12" s="35"/>
      <c r="U12" s="35">
        <f t="shared" si="6"/>
        <v>0</v>
      </c>
      <c r="V12" s="38"/>
      <c r="W12" s="31">
        <f t="shared" ref="W12:W23" si="11">(E12*($W$4)*V12)</f>
        <v>0</v>
      </c>
      <c r="X12" s="19"/>
      <c r="Y12" s="31">
        <f t="shared" ref="Y12:Y23" si="12">(E12*($Y$4)*X12)</f>
        <v>0</v>
      </c>
      <c r="Z12" s="31">
        <f t="shared" si="3"/>
        <v>969758.90432292386</v>
      </c>
      <c r="AA12" s="41">
        <v>38000</v>
      </c>
      <c r="AB12" s="41"/>
      <c r="AC12" s="218">
        <f>Z12+AA12-AB12</f>
        <v>1007758.9043229239</v>
      </c>
      <c r="AD12" s="41"/>
      <c r="AE12" s="134">
        <v>0</v>
      </c>
    </row>
    <row r="13" spans="1:46">
      <c r="A13" s="114" t="s">
        <v>39</v>
      </c>
      <c r="B13" s="28">
        <v>1006202963</v>
      </c>
      <c r="C13" s="84" t="s">
        <v>40</v>
      </c>
      <c r="D13" s="202">
        <f>B27+50000</f>
        <v>1800905</v>
      </c>
      <c r="E13" s="30">
        <f t="shared" si="4"/>
        <v>8186.3039229055858</v>
      </c>
      <c r="F13" s="31">
        <f t="shared" si="7"/>
        <v>60030.166666666664</v>
      </c>
      <c r="G13" s="85">
        <v>15</v>
      </c>
      <c r="H13" s="195">
        <f>G13*F13</f>
        <v>900452.5</v>
      </c>
      <c r="I13" s="49">
        <f>(249095/30)*G13</f>
        <v>124547.49999999999</v>
      </c>
      <c r="J13" s="33"/>
      <c r="K13" s="166">
        <f>((($B$27/2)*8%)/15)*G13</f>
        <v>70036.2</v>
      </c>
      <c r="L13" s="87">
        <v>9</v>
      </c>
      <c r="M13" s="173">
        <f t="shared" si="8"/>
        <v>92095.919132687835</v>
      </c>
      <c r="N13" s="89"/>
      <c r="O13" s="35">
        <f t="shared" si="9"/>
        <v>0</v>
      </c>
      <c r="P13" s="52">
        <v>18</v>
      </c>
      <c r="Q13" s="35">
        <f>(E13*($Q$4+1)*P13)</f>
        <v>265236.24710214097</v>
      </c>
      <c r="R13" s="90"/>
      <c r="S13" s="35">
        <f t="shared" si="10"/>
        <v>0</v>
      </c>
      <c r="T13" s="88"/>
      <c r="U13" s="35">
        <f t="shared" si="6"/>
        <v>0</v>
      </c>
      <c r="V13" s="87"/>
      <c r="W13" s="60">
        <f t="shared" si="11"/>
        <v>0</v>
      </c>
      <c r="X13" s="89"/>
      <c r="Y13" s="60">
        <f t="shared" si="12"/>
        <v>0</v>
      </c>
      <c r="Z13" s="31">
        <f t="shared" si="3"/>
        <v>1312295.9662348288</v>
      </c>
      <c r="AA13" s="213"/>
      <c r="AB13" s="41"/>
      <c r="AC13" s="231">
        <f>Z13+AA13-AB13</f>
        <v>1312295.9662348288</v>
      </c>
      <c r="AD13" s="41">
        <v>0</v>
      </c>
      <c r="AE13" s="134">
        <v>0</v>
      </c>
      <c r="AF13" s="109"/>
    </row>
    <row r="14" spans="1:46" ht="100.5">
      <c r="A14" s="117" t="s">
        <v>44</v>
      </c>
      <c r="B14" s="28">
        <v>1018502331</v>
      </c>
      <c r="C14" s="19">
        <v>484605035</v>
      </c>
      <c r="D14" s="138">
        <f>(1800000*10%)+1800000</f>
        <v>1980000</v>
      </c>
      <c r="E14" s="30">
        <f>F14/7.333</f>
        <v>9000.4091095049771</v>
      </c>
      <c r="F14" s="31">
        <f>D14/30</f>
        <v>66000</v>
      </c>
      <c r="G14" s="85">
        <v>15</v>
      </c>
      <c r="H14" s="194">
        <f>G14*F14</f>
        <v>990000</v>
      </c>
      <c r="I14" s="49">
        <f>(249095/30)*G14</f>
        <v>124547.49999999999</v>
      </c>
      <c r="J14" s="86"/>
      <c r="K14" s="51">
        <f>((($B$27/2)*8%)/15)*G14</f>
        <v>70036.2</v>
      </c>
      <c r="L14" s="87">
        <v>6</v>
      </c>
      <c r="M14" s="190">
        <f>(E14*($M$4+1)*L14)</f>
        <v>67503.068321287341</v>
      </c>
      <c r="N14" s="89"/>
      <c r="O14" s="35">
        <f>(E14*($O$4)*N14)</f>
        <v>0</v>
      </c>
      <c r="P14" s="52"/>
      <c r="Q14" s="35">
        <f>(E14*($Q$4+1)*P14)</f>
        <v>0</v>
      </c>
      <c r="R14" s="90"/>
      <c r="S14" s="35">
        <f>(E14*($S$4)*R14)</f>
        <v>0</v>
      </c>
      <c r="T14" s="88"/>
      <c r="U14" s="35">
        <f>(E14*($U$4)*T14)</f>
        <v>0</v>
      </c>
      <c r="V14" s="87"/>
      <c r="W14" s="60">
        <f>(E14*($W$4)*V14)</f>
        <v>0</v>
      </c>
      <c r="X14" s="89"/>
      <c r="Y14" s="60">
        <f>(E14*($Y$4)*X14)</f>
        <v>0</v>
      </c>
      <c r="Z14" s="31">
        <f>H14+I14+J14+M14+O14+S14+U14+W14+Y14-K14+Q14</f>
        <v>1112014.3683212874</v>
      </c>
      <c r="AA14" s="213"/>
      <c r="AB14" s="41">
        <f>150000+50000+100000</f>
        <v>300000</v>
      </c>
      <c r="AC14" s="182">
        <f>Z14+AA14-AB14</f>
        <v>812014.36832128745</v>
      </c>
      <c r="AD14" s="212">
        <v>250000</v>
      </c>
      <c r="AE14" s="180">
        <f>1190000-150000-150000-150000-150000</f>
        <v>590000</v>
      </c>
      <c r="AF14" s="186" t="s">
        <v>74</v>
      </c>
      <c r="AG14" s="186" t="s">
        <v>82</v>
      </c>
    </row>
    <row r="15" spans="1:46" s="147" customFormat="1">
      <c r="A15" s="146"/>
      <c r="B15" s="28"/>
      <c r="C15" s="79"/>
      <c r="D15" s="143"/>
      <c r="E15" s="30">
        <f t="shared" si="4"/>
        <v>0</v>
      </c>
      <c r="F15" s="31"/>
      <c r="G15" s="85"/>
      <c r="H15" s="196">
        <f>SUM(H5:H13)-H9</f>
        <v>8695981.833333334</v>
      </c>
      <c r="I15" s="166"/>
      <c r="J15" s="51"/>
      <c r="K15" s="51"/>
      <c r="L15" s="87"/>
      <c r="M15" s="173">
        <f t="shared" si="8"/>
        <v>0</v>
      </c>
      <c r="N15" s="89"/>
      <c r="O15" s="35">
        <f t="shared" si="9"/>
        <v>0</v>
      </c>
      <c r="P15" s="37"/>
      <c r="Q15" s="101">
        <f>SUM(Q9:Q13)</f>
        <v>530472.49420428195</v>
      </c>
      <c r="R15" s="90"/>
      <c r="S15" s="35">
        <f t="shared" si="10"/>
        <v>0</v>
      </c>
      <c r="T15" s="88"/>
      <c r="U15" s="35">
        <f t="shared" si="6"/>
        <v>0</v>
      </c>
      <c r="V15" s="87"/>
      <c r="W15" s="60"/>
      <c r="X15" s="89"/>
      <c r="Y15" s="60"/>
      <c r="Z15" s="31"/>
      <c r="AA15" s="91"/>
      <c r="AB15" s="45"/>
      <c r="AC15" s="176">
        <f>SUM(AC5:AC14)-AC9</f>
        <v>10923946.717687167</v>
      </c>
      <c r="AD15" s="133" t="s">
        <v>75</v>
      </c>
      <c r="AE15" s="134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</row>
    <row r="16" spans="1:46" s="147" customFormat="1">
      <c r="A16" s="146"/>
      <c r="B16" s="28"/>
      <c r="C16" s="79"/>
      <c r="D16" s="143"/>
      <c r="E16" s="30">
        <f t="shared" si="4"/>
        <v>0</v>
      </c>
      <c r="F16" s="31"/>
      <c r="G16" s="85"/>
      <c r="H16" s="197"/>
      <c r="I16" s="51"/>
      <c r="J16" s="51"/>
      <c r="K16" s="51"/>
      <c r="L16" s="87"/>
      <c r="M16" s="173">
        <f t="shared" si="8"/>
        <v>0</v>
      </c>
      <c r="N16" s="89"/>
      <c r="O16" s="35">
        <f t="shared" si="9"/>
        <v>0</v>
      </c>
      <c r="P16" s="37"/>
      <c r="Q16" s="35">
        <f t="shared" ref="Q16" si="13">(E16*($Q$4)*P16)</f>
        <v>0</v>
      </c>
      <c r="R16" s="90"/>
      <c r="S16" s="35">
        <f t="shared" si="10"/>
        <v>0</v>
      </c>
      <c r="T16" s="88"/>
      <c r="U16" s="35">
        <f t="shared" si="6"/>
        <v>0</v>
      </c>
      <c r="V16" s="87"/>
      <c r="W16" s="60"/>
      <c r="X16" s="89"/>
      <c r="Y16" s="60"/>
      <c r="Z16" s="31"/>
      <c r="AA16" s="91"/>
      <c r="AB16" s="45"/>
      <c r="AC16" s="53"/>
      <c r="AD16" s="133"/>
      <c r="AE16" s="134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</row>
    <row r="17" spans="1:33" ht="13.5" customHeight="1">
      <c r="A17" s="117" t="s">
        <v>43</v>
      </c>
      <c r="B17" s="28">
        <v>1116242414</v>
      </c>
      <c r="C17" s="79">
        <v>186736849</v>
      </c>
      <c r="D17" s="138">
        <f>(1800000*10%)+1800000</f>
        <v>1980000</v>
      </c>
      <c r="E17" s="30">
        <f t="shared" si="4"/>
        <v>9000.4091095049771</v>
      </c>
      <c r="F17" s="31">
        <f t="shared" si="7"/>
        <v>66000</v>
      </c>
      <c r="G17" s="85">
        <v>15</v>
      </c>
      <c r="H17" s="194">
        <f>G17*F17</f>
        <v>990000</v>
      </c>
      <c r="I17" s="49">
        <f t="shared" si="5"/>
        <v>124547.49999999999</v>
      </c>
      <c r="J17" s="86"/>
      <c r="K17" s="51">
        <f>((($B$27/2)*8%)/15)*G17</f>
        <v>70036.2</v>
      </c>
      <c r="L17" s="87">
        <v>9</v>
      </c>
      <c r="M17" s="173">
        <f t="shared" si="8"/>
        <v>101254.602481931</v>
      </c>
      <c r="N17" s="89"/>
      <c r="O17" s="35">
        <f t="shared" si="9"/>
        <v>0</v>
      </c>
      <c r="P17" s="52"/>
      <c r="Q17" s="35">
        <f t="shared" ref="Q17:Q23" si="14">(E17*($Q$4+1)*P17)</f>
        <v>0</v>
      </c>
      <c r="R17" s="90"/>
      <c r="S17" s="35">
        <f t="shared" si="10"/>
        <v>0</v>
      </c>
      <c r="T17" s="88"/>
      <c r="U17" s="35">
        <f t="shared" si="6"/>
        <v>0</v>
      </c>
      <c r="V17" s="87"/>
      <c r="W17" s="60">
        <f t="shared" si="11"/>
        <v>0</v>
      </c>
      <c r="X17" s="89"/>
      <c r="Y17" s="60">
        <f t="shared" si="12"/>
        <v>0</v>
      </c>
      <c r="Z17" s="31">
        <f>H17+I17+J17+M17+O17+S17+U17+W17+Y17-K17+Q17</f>
        <v>1145765.902481931</v>
      </c>
      <c r="AA17" s="91"/>
      <c r="AB17" s="45"/>
      <c r="AC17" s="182">
        <f>Z17+AA17-AB17</f>
        <v>1145765.902481931</v>
      </c>
      <c r="AD17" s="41">
        <v>0</v>
      </c>
      <c r="AE17" s="47"/>
    </row>
    <row r="18" spans="1:33" ht="13.5" customHeight="1">
      <c r="A18" s="116" t="s">
        <v>45</v>
      </c>
      <c r="B18" s="28">
        <v>16501191</v>
      </c>
      <c r="C18" s="19">
        <v>186817789</v>
      </c>
      <c r="D18" s="144">
        <f>B27</f>
        <v>1750905</v>
      </c>
      <c r="E18" s="30">
        <f t="shared" si="4"/>
        <v>7959.0208645847533</v>
      </c>
      <c r="F18" s="31">
        <f t="shared" si="7"/>
        <v>58363.5</v>
      </c>
      <c r="G18" s="85">
        <v>15</v>
      </c>
      <c r="H18" s="194">
        <f t="shared" ref="H18:H23" si="15">G18*F18</f>
        <v>875452.5</v>
      </c>
      <c r="I18" s="49">
        <f t="shared" si="5"/>
        <v>124547.49999999999</v>
      </c>
      <c r="J18" s="94"/>
      <c r="K18" s="51">
        <f>((($B$27/2)*8%)/15)*G18</f>
        <v>70036.2</v>
      </c>
      <c r="L18" s="87">
        <v>11</v>
      </c>
      <c r="M18" s="173">
        <f t="shared" si="8"/>
        <v>109436.53688804037</v>
      </c>
      <c r="N18" s="89"/>
      <c r="O18" s="35">
        <f t="shared" si="9"/>
        <v>0</v>
      </c>
      <c r="P18" s="52"/>
      <c r="Q18" s="35">
        <f t="shared" si="14"/>
        <v>0</v>
      </c>
      <c r="R18" s="90"/>
      <c r="S18" s="35">
        <f t="shared" si="10"/>
        <v>0</v>
      </c>
      <c r="T18" s="88"/>
      <c r="U18" s="35">
        <f t="shared" si="6"/>
        <v>0</v>
      </c>
      <c r="V18" s="87"/>
      <c r="W18" s="60">
        <f t="shared" si="11"/>
        <v>0</v>
      </c>
      <c r="X18" s="89"/>
      <c r="Y18" s="60">
        <f t="shared" si="12"/>
        <v>0</v>
      </c>
      <c r="Z18" s="31">
        <f t="shared" si="3"/>
        <v>1039400.3368880404</v>
      </c>
      <c r="AA18" s="91"/>
      <c r="AB18" s="45"/>
      <c r="AC18" s="182">
        <f>Z18+AA18-AB18</f>
        <v>1039400.3368880404</v>
      </c>
      <c r="AD18" s="41">
        <v>0</v>
      </c>
      <c r="AE18" s="47"/>
    </row>
    <row r="19" spans="1:33" ht="13.5" customHeight="1">
      <c r="A19" s="116" t="s">
        <v>47</v>
      </c>
      <c r="B19" s="28">
        <v>16505237</v>
      </c>
      <c r="C19" s="19">
        <v>186817573</v>
      </c>
      <c r="D19" s="144">
        <f>B27</f>
        <v>1750905</v>
      </c>
      <c r="E19" s="30">
        <f t="shared" si="4"/>
        <v>7959.0208645847533</v>
      </c>
      <c r="F19" s="31">
        <f t="shared" si="7"/>
        <v>58363.5</v>
      </c>
      <c r="G19" s="85">
        <v>15</v>
      </c>
      <c r="H19" s="194">
        <f t="shared" si="15"/>
        <v>875452.5</v>
      </c>
      <c r="I19" s="49">
        <f t="shared" si="5"/>
        <v>124547.49999999999</v>
      </c>
      <c r="J19" s="86"/>
      <c r="K19" s="51">
        <f>((($B$27/2)*8%)/15)*G19</f>
        <v>70036.2</v>
      </c>
      <c r="L19" s="87">
        <v>11</v>
      </c>
      <c r="M19" s="173">
        <f t="shared" si="8"/>
        <v>109436.53688804037</v>
      </c>
      <c r="N19" s="89"/>
      <c r="O19" s="35">
        <f t="shared" si="9"/>
        <v>0</v>
      </c>
      <c r="P19" s="52"/>
      <c r="Q19" s="35">
        <f t="shared" si="14"/>
        <v>0</v>
      </c>
      <c r="R19" s="90"/>
      <c r="S19" s="35">
        <f t="shared" si="10"/>
        <v>0</v>
      </c>
      <c r="T19" s="88"/>
      <c r="U19" s="35">
        <f t="shared" si="6"/>
        <v>0</v>
      </c>
      <c r="V19" s="87"/>
      <c r="W19" s="60">
        <f t="shared" si="11"/>
        <v>0</v>
      </c>
      <c r="X19" s="89"/>
      <c r="Y19" s="60">
        <f t="shared" si="12"/>
        <v>0</v>
      </c>
      <c r="Z19" s="31">
        <f>H19+I19+J19+M19+O19+S19+U19+W19+Y19-K19+Q19</f>
        <v>1039400.3368880404</v>
      </c>
      <c r="AA19" s="91"/>
      <c r="AB19" s="45"/>
      <c r="AC19" s="182">
        <f>Z19+AA19-AB19</f>
        <v>1039400.3368880404</v>
      </c>
      <c r="AD19" s="41">
        <v>0</v>
      </c>
      <c r="AE19" s="47"/>
      <c r="AF19" s="26" t="s">
        <v>76</v>
      </c>
    </row>
    <row r="20" spans="1:33" ht="13.5" customHeight="1">
      <c r="A20" s="120" t="s">
        <v>48</v>
      </c>
      <c r="B20" s="28">
        <v>1111747391</v>
      </c>
      <c r="C20" s="219">
        <v>186817581</v>
      </c>
      <c r="D20" s="144">
        <f>(B27*C28)+B27</f>
        <v>1840201.155</v>
      </c>
      <c r="E20" s="30">
        <f t="shared" si="4"/>
        <v>8364.9309286785756</v>
      </c>
      <c r="F20" s="31">
        <f t="shared" si="7"/>
        <v>61340.038500000002</v>
      </c>
      <c r="G20" s="85">
        <v>15</v>
      </c>
      <c r="H20" s="194">
        <f>G20*F20</f>
        <v>920100.57750000001</v>
      </c>
      <c r="I20" s="49">
        <f t="shared" si="5"/>
        <v>124547.49999999999</v>
      </c>
      <c r="J20" s="86"/>
      <c r="K20" s="51">
        <f>((($B$27/2)*8%)/15)*G20</f>
        <v>70036.2</v>
      </c>
      <c r="L20" s="87">
        <v>5</v>
      </c>
      <c r="M20" s="173">
        <f t="shared" si="8"/>
        <v>52280.818304241096</v>
      </c>
      <c r="N20" s="89"/>
      <c r="O20" s="35">
        <f t="shared" si="9"/>
        <v>0</v>
      </c>
      <c r="P20" s="52"/>
      <c r="Q20" s="35">
        <f t="shared" si="14"/>
        <v>0</v>
      </c>
      <c r="R20" s="90"/>
      <c r="S20" s="35">
        <f t="shared" si="10"/>
        <v>0</v>
      </c>
      <c r="T20" s="88"/>
      <c r="U20" s="35">
        <f t="shared" si="6"/>
        <v>0</v>
      </c>
      <c r="V20" s="87"/>
      <c r="W20" s="60">
        <f t="shared" si="11"/>
        <v>0</v>
      </c>
      <c r="X20" s="89"/>
      <c r="Y20" s="60">
        <f t="shared" si="12"/>
        <v>0</v>
      </c>
      <c r="Z20" s="31">
        <f t="shared" si="3"/>
        <v>1026892.6958042411</v>
      </c>
      <c r="AA20" s="91"/>
      <c r="AB20" s="45"/>
      <c r="AC20" s="182">
        <f>Z20+AA20-AB20</f>
        <v>1026892.6958042411</v>
      </c>
      <c r="AD20" s="41">
        <v>0</v>
      </c>
      <c r="AE20" s="47"/>
    </row>
    <row r="21" spans="1:33" ht="13.5" customHeight="1">
      <c r="A21" s="116" t="s">
        <v>49</v>
      </c>
      <c r="B21" s="28">
        <v>1006188943</v>
      </c>
      <c r="C21" s="220">
        <v>186817607</v>
      </c>
      <c r="D21" s="142">
        <f>B27</f>
        <v>1750905</v>
      </c>
      <c r="E21" s="30">
        <f t="shared" si="4"/>
        <v>7959.0208645847533</v>
      </c>
      <c r="F21" s="31">
        <f t="shared" si="7"/>
        <v>58363.5</v>
      </c>
      <c r="G21" s="85">
        <v>15</v>
      </c>
      <c r="H21" s="194">
        <f t="shared" si="15"/>
        <v>875452.5</v>
      </c>
      <c r="I21" s="49">
        <f t="shared" si="5"/>
        <v>124547.49999999999</v>
      </c>
      <c r="J21" s="86"/>
      <c r="K21" s="51">
        <f>((($B$27/2)*8%)/15)*G21</f>
        <v>70036.2</v>
      </c>
      <c r="L21" s="87">
        <v>1</v>
      </c>
      <c r="M21" s="173">
        <f t="shared" si="8"/>
        <v>9948.7760807309423</v>
      </c>
      <c r="N21" s="89"/>
      <c r="O21" s="35">
        <f t="shared" si="9"/>
        <v>0</v>
      </c>
      <c r="P21" s="52">
        <v>8</v>
      </c>
      <c r="Q21" s="35">
        <f t="shared" si="14"/>
        <v>114609.90045002045</v>
      </c>
      <c r="R21" s="90"/>
      <c r="S21" s="35">
        <f t="shared" si="10"/>
        <v>0</v>
      </c>
      <c r="T21" s="88"/>
      <c r="U21" s="35">
        <f t="shared" si="6"/>
        <v>0</v>
      </c>
      <c r="V21" s="87"/>
      <c r="W21" s="60">
        <f t="shared" si="11"/>
        <v>0</v>
      </c>
      <c r="X21" s="89"/>
      <c r="Y21" s="60">
        <f t="shared" si="12"/>
        <v>0</v>
      </c>
      <c r="Z21" s="31">
        <f t="shared" si="3"/>
        <v>1054522.4765307514</v>
      </c>
      <c r="AA21" s="91"/>
      <c r="AB21" s="45"/>
      <c r="AC21" s="182">
        <f>Z21+AA21-AB21</f>
        <v>1054522.4765307514</v>
      </c>
      <c r="AD21" s="41">
        <v>0</v>
      </c>
      <c r="AE21" s="47"/>
      <c r="AG21" s="76"/>
    </row>
    <row r="22" spans="1:33" ht="13.5" customHeight="1">
      <c r="A22" s="116" t="s">
        <v>50</v>
      </c>
      <c r="B22" s="95">
        <v>1006203947</v>
      </c>
      <c r="C22" s="219">
        <v>186821369</v>
      </c>
      <c r="D22" s="145">
        <f>B27</f>
        <v>1750905</v>
      </c>
      <c r="E22" s="30">
        <f t="shared" si="4"/>
        <v>7959.0208645847533</v>
      </c>
      <c r="F22" s="31">
        <f t="shared" si="7"/>
        <v>58363.5</v>
      </c>
      <c r="G22" s="85">
        <v>15</v>
      </c>
      <c r="H22" s="194">
        <f t="shared" si="15"/>
        <v>875452.5</v>
      </c>
      <c r="I22" s="49">
        <f t="shared" si="5"/>
        <v>124547.49999999999</v>
      </c>
      <c r="J22" s="86"/>
      <c r="K22" s="51">
        <f>((($B$27/2)*8%)/15)*G22</f>
        <v>70036.2</v>
      </c>
      <c r="L22" s="87">
        <v>6</v>
      </c>
      <c r="M22" s="173">
        <f t="shared" si="8"/>
        <v>59692.656484385654</v>
      </c>
      <c r="N22" s="89"/>
      <c r="O22" s="35">
        <f t="shared" si="9"/>
        <v>0</v>
      </c>
      <c r="P22" s="52">
        <v>8</v>
      </c>
      <c r="Q22" s="35">
        <f t="shared" si="14"/>
        <v>114609.90045002045</v>
      </c>
      <c r="R22" s="90"/>
      <c r="S22" s="35">
        <f t="shared" si="10"/>
        <v>0</v>
      </c>
      <c r="T22" s="88"/>
      <c r="U22" s="35">
        <f t="shared" si="6"/>
        <v>0</v>
      </c>
      <c r="V22" s="87"/>
      <c r="W22" s="60">
        <f t="shared" si="11"/>
        <v>0</v>
      </c>
      <c r="X22" s="89"/>
      <c r="Y22" s="60">
        <f t="shared" si="12"/>
        <v>0</v>
      </c>
      <c r="Z22" s="31">
        <f t="shared" si="3"/>
        <v>1104266.3569344063</v>
      </c>
      <c r="AA22" s="91"/>
      <c r="AB22" s="45"/>
      <c r="AC22" s="182">
        <f>Z22+AA22-AB22</f>
        <v>1104266.3569344063</v>
      </c>
      <c r="AD22" s="41">
        <v>0</v>
      </c>
      <c r="AE22" s="47"/>
      <c r="AG22" s="76"/>
    </row>
    <row r="23" spans="1:33" ht="13.5" customHeight="1">
      <c r="A23" s="119" t="s">
        <v>51</v>
      </c>
      <c r="B23" s="95">
        <v>1111814116</v>
      </c>
      <c r="C23" s="219">
        <v>186821385</v>
      </c>
      <c r="D23" s="143">
        <f>(2000000*C28)+2000000</f>
        <v>2102000</v>
      </c>
      <c r="E23" s="30">
        <f t="shared" si="4"/>
        <v>9554.9797718078098</v>
      </c>
      <c r="F23" s="131">
        <f t="shared" si="7"/>
        <v>70066.666666666672</v>
      </c>
      <c r="G23" s="85">
        <v>15</v>
      </c>
      <c r="H23" s="195">
        <f t="shared" si="15"/>
        <v>1051000</v>
      </c>
      <c r="I23" s="171">
        <f t="shared" si="5"/>
        <v>124547.49999999999</v>
      </c>
      <c r="J23" s="172"/>
      <c r="K23" s="51">
        <f>((($B$27/2)*8%)/15)*G23</f>
        <v>70036.2</v>
      </c>
      <c r="L23" s="87">
        <v>9</v>
      </c>
      <c r="M23" s="173">
        <f t="shared" si="8"/>
        <v>107493.52243283787</v>
      </c>
      <c r="N23" s="89"/>
      <c r="O23" s="35">
        <f t="shared" si="9"/>
        <v>0</v>
      </c>
      <c r="P23" s="52">
        <v>16</v>
      </c>
      <c r="Q23" s="35">
        <f t="shared" si="14"/>
        <v>275183.41742806492</v>
      </c>
      <c r="R23" s="90"/>
      <c r="S23" s="35">
        <f t="shared" si="10"/>
        <v>0</v>
      </c>
      <c r="T23" s="88"/>
      <c r="U23" s="35">
        <f t="shared" si="6"/>
        <v>0</v>
      </c>
      <c r="V23" s="87"/>
      <c r="W23" s="60">
        <f t="shared" si="11"/>
        <v>0</v>
      </c>
      <c r="X23" s="89"/>
      <c r="Y23" s="60">
        <f t="shared" si="12"/>
        <v>0</v>
      </c>
      <c r="Z23" s="31">
        <f t="shared" si="3"/>
        <v>1488188.2398609028</v>
      </c>
      <c r="AA23" s="91"/>
      <c r="AB23" s="45"/>
      <c r="AC23" s="182">
        <f>Z23+AA23-AB23</f>
        <v>1488188.2398609028</v>
      </c>
      <c r="AD23" s="41">
        <v>0</v>
      </c>
      <c r="AE23" s="47"/>
      <c r="AF23" s="217"/>
      <c r="AG23" s="76"/>
    </row>
    <row r="24" spans="1:33" s="147" customFormat="1" ht="13.5" customHeight="1">
      <c r="A24" s="146"/>
      <c r="B24" s="95"/>
      <c r="C24" s="19"/>
      <c r="D24" s="148"/>
      <c r="E24" s="149"/>
      <c r="F24" s="94"/>
      <c r="G24" s="85"/>
      <c r="H24" s="198">
        <f>SUM(H17:H23)</f>
        <v>6462910.5775000006</v>
      </c>
      <c r="I24" s="31"/>
      <c r="J24" s="31"/>
      <c r="K24" s="166"/>
      <c r="L24" s="87"/>
      <c r="M24" s="35">
        <f t="shared" ref="M24:M41" si="16">(E24*($M$4)*L24)</f>
        <v>0</v>
      </c>
      <c r="N24" s="89"/>
      <c r="O24" s="35">
        <f t="shared" si="9"/>
        <v>0</v>
      </c>
      <c r="P24" s="152"/>
      <c r="Q24" s="153">
        <f>SUM(Q17:Q23)</f>
        <v>504403.21832810581</v>
      </c>
      <c r="R24" s="90"/>
      <c r="S24" s="88"/>
      <c r="T24" s="88"/>
      <c r="U24" s="88"/>
      <c r="V24" s="87"/>
      <c r="W24" s="60"/>
      <c r="X24" s="89"/>
      <c r="Y24" s="60"/>
      <c r="Z24" s="31"/>
      <c r="AA24" s="91"/>
      <c r="AB24" s="45"/>
      <c r="AC24" s="176">
        <f>SUM(AC17:AC23)</f>
        <v>7898436.3453883128</v>
      </c>
      <c r="AD24" s="92"/>
      <c r="AE24" s="47"/>
      <c r="AG24" s="154"/>
    </row>
    <row r="25" spans="1:33" ht="13.5" customHeight="1">
      <c r="A25" s="20" t="s">
        <v>52</v>
      </c>
      <c r="B25" s="96"/>
      <c r="C25" s="47"/>
      <c r="D25" s="126"/>
      <c r="E25" s="132">
        <f>SUM(E5:E13)</f>
        <v>114870.64366562117</v>
      </c>
      <c r="F25" s="97">
        <f>SUM(F5:F23)</f>
        <v>1361358.2051666668</v>
      </c>
      <c r="G25" s="98"/>
      <c r="H25" s="199"/>
      <c r="I25" s="100">
        <f>SUM(I5:I13)</f>
        <v>714072.33333333326</v>
      </c>
      <c r="J25" s="100">
        <f>SUM(J5:J23)</f>
        <v>0</v>
      </c>
      <c r="K25" s="170">
        <f>SUM(K5:K13)</f>
        <v>490253.4</v>
      </c>
      <c r="L25" s="20"/>
      <c r="M25" s="100">
        <f>SUM(M17:M24)</f>
        <v>549543.44956020731</v>
      </c>
      <c r="N25" s="20"/>
      <c r="O25" s="100">
        <f>SUM(O5:O13)</f>
        <v>0</v>
      </c>
      <c r="P25" s="99"/>
      <c r="Q25" s="99">
        <f>Q15+Q24</f>
        <v>1034875.7125323878</v>
      </c>
      <c r="R25" s="20"/>
      <c r="S25" s="101">
        <f>SUM(S5:S13)</f>
        <v>18000.818219009954</v>
      </c>
      <c r="T25" s="35"/>
      <c r="U25" s="101">
        <f>SUM(U5:U13)</f>
        <v>0</v>
      </c>
      <c r="V25" s="20"/>
      <c r="W25" s="100">
        <f>SUM(W5:W13)</f>
        <v>0</v>
      </c>
      <c r="X25" s="20"/>
      <c r="Y25" s="100">
        <f>SUM(Y5:Y13)</f>
        <v>0</v>
      </c>
      <c r="Z25" s="102">
        <f>SUM(Z5:Z23)</f>
        <v>22340025.863075484</v>
      </c>
      <c r="AA25" s="103">
        <f>SUM(AA5:AA13)</f>
        <v>712321</v>
      </c>
      <c r="AB25" s="103">
        <f>SUM(AB5:AB13)</f>
        <v>500000</v>
      </c>
      <c r="AC25" s="104">
        <f>AC15+AC24</f>
        <v>18822383.063075479</v>
      </c>
      <c r="AD25" s="58" t="s">
        <v>78</v>
      </c>
      <c r="AE25" s="105"/>
    </row>
    <row r="26" spans="1:33" ht="15">
      <c r="A26" s="247" t="s">
        <v>54</v>
      </c>
      <c r="B26" s="247"/>
      <c r="C26" s="247"/>
      <c r="D26" s="247"/>
      <c r="E26" s="247"/>
      <c r="F26" s="247"/>
      <c r="G26" s="247"/>
      <c r="H26" s="247"/>
      <c r="I26" s="247"/>
      <c r="AC26" s="154"/>
    </row>
    <row r="27" spans="1:33" ht="15">
      <c r="A27" s="21" t="s">
        <v>55</v>
      </c>
      <c r="B27" s="22">
        <v>1750905</v>
      </c>
      <c r="C27" s="135" t="s">
        <v>56</v>
      </c>
      <c r="D27" s="16"/>
      <c r="E27" s="16"/>
      <c r="F27" s="16"/>
      <c r="G27" s="16"/>
      <c r="H27" s="16"/>
      <c r="I27" s="16"/>
      <c r="AC27" s="154"/>
      <c r="AD27" s="185"/>
    </row>
    <row r="28" spans="1:33" ht="15">
      <c r="A28" s="23" t="s">
        <v>57</v>
      </c>
      <c r="B28" s="24">
        <v>249095</v>
      </c>
      <c r="C28" s="136">
        <v>5.0999999999999997E-2</v>
      </c>
      <c r="D28" s="16"/>
      <c r="E28" s="16"/>
      <c r="F28" s="16"/>
      <c r="G28" s="16"/>
      <c r="H28" s="16"/>
      <c r="I28" s="16"/>
      <c r="AC28" s="154"/>
      <c r="AE28" s="106"/>
    </row>
    <row r="29" spans="1:33" ht="15">
      <c r="A29" s="16"/>
      <c r="B29" s="16"/>
      <c r="C29" s="16"/>
      <c r="D29" s="16"/>
      <c r="E29" s="16"/>
      <c r="F29" s="16"/>
      <c r="G29" s="16"/>
      <c r="H29" s="16"/>
      <c r="I29" s="16"/>
      <c r="AC29" s="183"/>
      <c r="AE29" s="106"/>
    </row>
    <row r="30" spans="1:33" ht="29.25">
      <c r="A30" s="125" t="s">
        <v>58</v>
      </c>
      <c r="B30" s="16"/>
      <c r="C30" s="16"/>
      <c r="D30" s="16"/>
      <c r="E30" s="16"/>
      <c r="F30" s="16"/>
      <c r="G30" s="16"/>
      <c r="H30" s="16"/>
      <c r="I30" s="16"/>
      <c r="AC30" s="154"/>
      <c r="AE30" s="106"/>
      <c r="AG30" s="107"/>
    </row>
    <row r="31" spans="1:33" ht="15">
      <c r="A31" s="245" t="s">
        <v>59</v>
      </c>
      <c r="B31" s="16"/>
      <c r="C31" s="16"/>
      <c r="D31" s="16"/>
      <c r="E31" s="16"/>
      <c r="F31" s="16"/>
      <c r="G31" s="16"/>
      <c r="H31" s="16"/>
      <c r="I31" s="16"/>
      <c r="M31" s="249" t="s">
        <v>60</v>
      </c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AC31" s="147"/>
      <c r="AE31" s="106"/>
    </row>
    <row r="32" spans="1:33" ht="15">
      <c r="A32" s="245"/>
      <c r="B32" s="16"/>
      <c r="C32" s="16"/>
      <c r="D32" s="16"/>
      <c r="E32" s="16"/>
      <c r="F32" s="16"/>
      <c r="G32" s="16"/>
      <c r="H32" s="16"/>
      <c r="I32" s="16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AC32" s="147"/>
      <c r="AE32" s="106"/>
    </row>
    <row r="33" spans="1:31">
      <c r="A33" s="26" t="s">
        <v>83</v>
      </c>
      <c r="F33" s="108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49"/>
      <c r="Y33" s="249"/>
      <c r="AC33" s="147"/>
      <c r="AE33" s="106"/>
    </row>
    <row r="34" spans="1:31">
      <c r="M34" s="250" t="s">
        <v>61</v>
      </c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AE34" s="106"/>
    </row>
    <row r="35" spans="1:31">
      <c r="J35" s="109"/>
      <c r="AE35" s="106"/>
    </row>
    <row r="36" spans="1:31">
      <c r="F36" s="108"/>
      <c r="J36" s="109"/>
      <c r="AE36" s="106"/>
    </row>
    <row r="37" spans="1:31">
      <c r="J37" s="109"/>
      <c r="AE37" s="106"/>
    </row>
    <row r="38" spans="1:31" ht="43.5" customHeight="1">
      <c r="D38" s="248" t="s">
        <v>62</v>
      </c>
      <c r="E38" s="248"/>
      <c r="F38" s="248"/>
      <c r="G38" s="26">
        <v>8</v>
      </c>
      <c r="AE38" s="106"/>
    </row>
    <row r="39" spans="1:31">
      <c r="J39" s="109"/>
      <c r="AE39" s="106"/>
    </row>
  </sheetData>
  <mergeCells count="9">
    <mergeCell ref="D38:F38"/>
    <mergeCell ref="A1:AC1"/>
    <mergeCell ref="A2:AC2"/>
    <mergeCell ref="A3:AC3"/>
    <mergeCell ref="AD3:AE3"/>
    <mergeCell ref="A26:I26"/>
    <mergeCell ref="A31:A32"/>
    <mergeCell ref="M31:Y33"/>
    <mergeCell ref="M34:Y3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F6B2-648F-4560-AE01-6ACA72B3F7B0}">
  <dimension ref="A1:AT38"/>
  <sheetViews>
    <sheetView workbookViewId="0">
      <pane xSplit="3" topLeftCell="D1" activePane="topRight" state="frozen"/>
      <selection pane="topRight" activeCell="AD13" sqref="AD13"/>
    </sheetView>
  </sheetViews>
  <sheetFormatPr defaultRowHeight="13.5"/>
  <cols>
    <col min="1" max="1" width="48.7109375" style="26" customWidth="1"/>
    <col min="2" max="2" width="12.140625" style="26" bestFit="1" customWidth="1"/>
    <col min="3" max="3" width="17.5703125" style="26" customWidth="1"/>
    <col min="4" max="4" width="15.7109375" style="26" customWidth="1"/>
    <col min="5" max="5" width="11" style="26" customWidth="1"/>
    <col min="6" max="6" width="13.28515625" style="26" customWidth="1"/>
    <col min="7" max="7" width="12.28515625" style="26" customWidth="1"/>
    <col min="8" max="8" width="12.7109375" style="26" customWidth="1"/>
    <col min="9" max="9" width="12.28515625" style="26" customWidth="1"/>
    <col min="10" max="10" width="17.85546875" style="26" customWidth="1"/>
    <col min="11" max="11" width="15.28515625" style="26" customWidth="1"/>
    <col min="12" max="12" width="9.140625" style="26"/>
    <col min="13" max="13" width="12.42578125" style="26" customWidth="1"/>
    <col min="14" max="16" width="9.140625" style="26"/>
    <col min="17" max="17" width="12.140625" style="26" customWidth="1"/>
    <col min="18" max="24" width="9.140625" style="26"/>
    <col min="25" max="25" width="10.85546875" style="26" customWidth="1"/>
    <col min="26" max="26" width="13.5703125" style="26" bestFit="1" customWidth="1"/>
    <col min="27" max="27" width="16.5703125" style="26" customWidth="1"/>
    <col min="28" max="28" width="14.85546875" style="26" customWidth="1"/>
    <col min="29" max="29" width="14.42578125" style="26" customWidth="1"/>
    <col min="30" max="30" width="18.28515625" style="26" customWidth="1"/>
    <col min="31" max="31" width="15.28515625" style="26" customWidth="1"/>
    <col min="32" max="32" width="23.7109375" style="26" customWidth="1"/>
    <col min="33" max="33" width="36.5703125" style="26" bestFit="1" customWidth="1"/>
    <col min="34" max="34" width="18.28515625" style="26" customWidth="1"/>
    <col min="35" max="16384" width="9.140625" style="26"/>
  </cols>
  <sheetData>
    <row r="1" spans="1:46" ht="2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"/>
    </row>
    <row r="2" spans="1:46" ht="21">
      <c r="A2" s="252" t="s">
        <v>79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7"/>
    </row>
    <row r="3" spans="1:46" ht="21">
      <c r="A3" s="251" t="s">
        <v>2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46" t="s">
        <v>3</v>
      </c>
      <c r="AE3" s="246"/>
    </row>
    <row r="4" spans="1:46" ht="38.25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4" t="s">
        <v>72</v>
      </c>
      <c r="K4" s="3" t="s">
        <v>65</v>
      </c>
      <c r="L4" s="5" t="s">
        <v>15</v>
      </c>
      <c r="M4" s="6">
        <v>0.25</v>
      </c>
      <c r="N4" s="7" t="s">
        <v>16</v>
      </c>
      <c r="O4" s="8">
        <v>0.75</v>
      </c>
      <c r="P4" s="9" t="s">
        <v>17</v>
      </c>
      <c r="Q4" s="9">
        <v>0.8</v>
      </c>
      <c r="R4" s="10" t="s">
        <v>18</v>
      </c>
      <c r="S4" s="11">
        <v>1</v>
      </c>
      <c r="T4" s="12" t="s">
        <v>19</v>
      </c>
      <c r="U4" s="12">
        <v>1.1000000000000001</v>
      </c>
      <c r="V4" s="5" t="s">
        <v>20</v>
      </c>
      <c r="W4" s="6">
        <v>1.5</v>
      </c>
      <c r="X4" s="4" t="s">
        <v>21</v>
      </c>
      <c r="Y4" s="9">
        <v>0.35</v>
      </c>
      <c r="Z4" s="13" t="s">
        <v>22</v>
      </c>
      <c r="AA4" s="3" t="s">
        <v>23</v>
      </c>
      <c r="AB4" s="14" t="s">
        <v>24</v>
      </c>
      <c r="AC4" s="158" t="s">
        <v>25</v>
      </c>
      <c r="AD4" s="14" t="s">
        <v>26</v>
      </c>
      <c r="AE4" s="15" t="s">
        <v>27</v>
      </c>
    </row>
    <row r="5" spans="1:46">
      <c r="A5" s="17" t="s">
        <v>28</v>
      </c>
      <c r="B5" s="28">
        <v>94558569</v>
      </c>
      <c r="C5" s="29" t="s">
        <v>29</v>
      </c>
      <c r="D5" s="200"/>
      <c r="E5" s="30">
        <f>F5/8</f>
        <v>16605</v>
      </c>
      <c r="F5" s="31">
        <v>132840</v>
      </c>
      <c r="G5" s="32">
        <v>9</v>
      </c>
      <c r="H5" s="194">
        <f>F5*G5</f>
        <v>1195560</v>
      </c>
      <c r="I5" s="31"/>
      <c r="J5" s="33"/>
      <c r="K5" s="51">
        <v>0</v>
      </c>
      <c r="L5" s="34"/>
      <c r="M5" s="35">
        <f>(E5*L5)</f>
        <v>0</v>
      </c>
      <c r="N5" s="36"/>
      <c r="O5" s="35">
        <f>(E5*($O$4+1)*N5)</f>
        <v>0</v>
      </c>
      <c r="P5" s="37"/>
      <c r="Q5" s="35">
        <f>(E5*($Q$4+1)*P5)</f>
        <v>0</v>
      </c>
      <c r="R5" s="38"/>
      <c r="S5" s="35">
        <f>(E5*($S$4+1)*R5)</f>
        <v>0</v>
      </c>
      <c r="T5" s="35"/>
      <c r="U5" s="35">
        <f t="shared" ref="U5:U6" si="0">(E5*($U$4+1)*T5)</f>
        <v>0</v>
      </c>
      <c r="V5" s="38"/>
      <c r="W5" s="31">
        <f>(E5*($W$4+1)*V5)</f>
        <v>0</v>
      </c>
      <c r="X5" s="38"/>
      <c r="Y5" s="31">
        <f>(E5*($Y$4+1)*X5)</f>
        <v>0</v>
      </c>
      <c r="Z5" s="31">
        <f>H5+I5+J5+M5+O5+S5+U5+W5+Y5-K5+Q5</f>
        <v>1195560</v>
      </c>
      <c r="AA5" s="133">
        <v>20000</v>
      </c>
      <c r="AB5" s="209"/>
      <c r="AC5" s="162">
        <f>Z5+AA5-AB5</f>
        <v>1215560</v>
      </c>
      <c r="AD5" s="41"/>
      <c r="AE5" s="134">
        <v>0</v>
      </c>
      <c r="AH5" s="237">
        <f>AC5+'MAR 16 AL 31'!AG5+'MAR 01 AL 15'!AI5+'NVO HORARIO FEB 16 AL 28'!AG5</f>
        <v>1860387</v>
      </c>
    </row>
    <row r="6" spans="1:46">
      <c r="A6" s="17" t="s">
        <v>30</v>
      </c>
      <c r="B6" s="28">
        <v>6163973</v>
      </c>
      <c r="C6" s="42">
        <v>142184027</v>
      </c>
      <c r="D6" s="201"/>
      <c r="E6" s="30">
        <f>F6/8</f>
        <v>16605</v>
      </c>
      <c r="F6" s="31">
        <v>132840</v>
      </c>
      <c r="G6" s="43">
        <v>9</v>
      </c>
      <c r="H6" s="194">
        <f>G6*F6</f>
        <v>1195560</v>
      </c>
      <c r="I6" s="31"/>
      <c r="J6" s="33"/>
      <c r="K6" s="51">
        <v>0</v>
      </c>
      <c r="L6" s="38"/>
      <c r="M6" s="35">
        <f>(E6*L6)</f>
        <v>0</v>
      </c>
      <c r="N6" s="38"/>
      <c r="O6" s="35">
        <f>(E6*($O$4+1)*N6)</f>
        <v>0</v>
      </c>
      <c r="P6" s="37"/>
      <c r="Q6" s="35">
        <f t="shared" ref="Q6:Q11" si="1">(E6*($Q$4+1)*P6)</f>
        <v>0</v>
      </c>
      <c r="R6" s="38"/>
      <c r="S6" s="35">
        <f t="shared" ref="S6" si="2">(E6*($S$4+1)*R6)</f>
        <v>0</v>
      </c>
      <c r="T6" s="35"/>
      <c r="U6" s="35">
        <f t="shared" si="0"/>
        <v>0</v>
      </c>
      <c r="V6" s="38"/>
      <c r="W6" s="31">
        <f>(E6*($W$4+1)*V6)</f>
        <v>0</v>
      </c>
      <c r="X6" s="19"/>
      <c r="Y6" s="31">
        <f>(E6*($Y$4+1)*X6)</f>
        <v>0</v>
      </c>
      <c r="Z6" s="31">
        <f t="shared" ref="Z6:Z22" si="3">H6+I6+J6+M6+O6+S6+U6+W6+Y6-K6+Q6</f>
        <v>1195560</v>
      </c>
      <c r="AA6" s="41">
        <v>140000</v>
      </c>
      <c r="AB6" s="133">
        <v>200000</v>
      </c>
      <c r="AC6" s="162">
        <f>Z6+AA6-AB6</f>
        <v>1135560</v>
      </c>
      <c r="AD6" s="41">
        <v>200000</v>
      </c>
      <c r="AE6" s="134">
        <v>0</v>
      </c>
      <c r="AH6" s="237">
        <f>AC6+'MAR 16 AL 31'!AG6+'MAR 01 AL 15'!AI6+'NVO HORARIO FEB 16 AL 28'!AG6</f>
        <v>1971123.5999999999</v>
      </c>
    </row>
    <row r="7" spans="1:46">
      <c r="A7" s="113" t="s">
        <v>31</v>
      </c>
      <c r="B7" s="28">
        <v>1006011966</v>
      </c>
      <c r="C7" s="207">
        <v>164461378</v>
      </c>
      <c r="D7" s="201">
        <f>B26+80000</f>
        <v>1830905</v>
      </c>
      <c r="E7" s="30">
        <f>F7/7.333</f>
        <v>8322.6737578980865</v>
      </c>
      <c r="F7" s="31">
        <f>D7/30</f>
        <v>61030.166666666664</v>
      </c>
      <c r="G7" s="43">
        <v>15</v>
      </c>
      <c r="H7" s="194">
        <f>G7*F7</f>
        <v>915452.5</v>
      </c>
      <c r="I7" s="49">
        <f>(249095/30)*G7</f>
        <v>124547.49999999999</v>
      </c>
      <c r="J7" s="50"/>
      <c r="K7" s="51">
        <f>((($B$26/2)*8%)/15)*G7</f>
        <v>70036.2</v>
      </c>
      <c r="L7" s="38"/>
      <c r="M7" s="173">
        <f>(E7*($M$4+1)*L7)</f>
        <v>0</v>
      </c>
      <c r="N7" s="19"/>
      <c r="O7" s="35">
        <f>(E7*($O$4)*N7)</f>
        <v>0</v>
      </c>
      <c r="P7" s="52"/>
      <c r="Q7" s="35">
        <f t="shared" si="1"/>
        <v>0</v>
      </c>
      <c r="R7" s="38"/>
      <c r="S7" s="35">
        <f>(E7*($S$4)*R7)</f>
        <v>0</v>
      </c>
      <c r="T7" s="35"/>
      <c r="U7" s="35">
        <f>(E7*($U$4)*T7)</f>
        <v>0</v>
      </c>
      <c r="V7" s="38"/>
      <c r="W7" s="31">
        <f>(E7*($W$4)*V7)</f>
        <v>0</v>
      </c>
      <c r="X7" s="19"/>
      <c r="Y7" s="31">
        <f>(E7*($Y$4)*X7)</f>
        <v>0</v>
      </c>
      <c r="Z7" s="31">
        <f>H7+I7+J7+M7+O7+S7+U7+W7+Y7-K7+Q7</f>
        <v>969963.8</v>
      </c>
      <c r="AA7" s="210">
        <v>584143</v>
      </c>
      <c r="AB7" s="41"/>
      <c r="AC7" s="162">
        <f>Z7+AA7-AB7</f>
        <v>1554106.8</v>
      </c>
      <c r="AD7" s="41">
        <v>0</v>
      </c>
      <c r="AE7" s="134">
        <v>0</v>
      </c>
    </row>
    <row r="8" spans="1:46">
      <c r="A8" s="113" t="s">
        <v>32</v>
      </c>
      <c r="B8" s="204">
        <v>1006172144</v>
      </c>
      <c r="C8" s="127">
        <v>445515752</v>
      </c>
      <c r="D8" s="205">
        <f>(1800000*10%)+1800000</f>
        <v>1980000</v>
      </c>
      <c r="E8" s="30">
        <f t="shared" ref="E8:E22" si="4">F8/7.333</f>
        <v>9000.4091095049771</v>
      </c>
      <c r="F8" s="31">
        <f>D8/30</f>
        <v>66000</v>
      </c>
      <c r="G8" s="43">
        <v>15</v>
      </c>
      <c r="H8" s="194">
        <f>G8*F8</f>
        <v>990000</v>
      </c>
      <c r="I8" s="49">
        <f t="shared" ref="I8:I22" si="5">(249095/30)*G8</f>
        <v>124547.49999999999</v>
      </c>
      <c r="J8" s="33"/>
      <c r="K8" s="51">
        <f>((($B$26/2)*8%)/15)*G8</f>
        <v>70036.2</v>
      </c>
      <c r="L8" s="38">
        <v>4</v>
      </c>
      <c r="M8" s="173">
        <f>(E8*($M$4+1)*L8)</f>
        <v>45002.045547524889</v>
      </c>
      <c r="N8" s="18">
        <v>0</v>
      </c>
      <c r="O8" s="35">
        <v>0</v>
      </c>
      <c r="P8" s="178">
        <v>1</v>
      </c>
      <c r="Q8" s="179">
        <f>(E8*($Q$4+1)*P8)</f>
        <v>16200.73639710896</v>
      </c>
      <c r="R8" s="216">
        <v>1</v>
      </c>
      <c r="S8" s="179">
        <f>(E8*($S$4+1)*R8)</f>
        <v>18000.818219009954</v>
      </c>
      <c r="T8" s="35"/>
      <c r="U8" s="35">
        <f t="shared" ref="U8:U22" si="6">(E8*($U$4)*T8)</f>
        <v>0</v>
      </c>
      <c r="V8" s="38"/>
      <c r="W8" s="31">
        <f>(E8*($W$4)*V8)</f>
        <v>0</v>
      </c>
      <c r="X8" s="19"/>
      <c r="Y8" s="31">
        <f>(E8*($Y$4)*X8)</f>
        <v>0</v>
      </c>
      <c r="Z8" s="31">
        <f>H8+I8+J8+M8+O8+S8+U8+Q8+W8+Y8-K8</f>
        <v>1123714.900163644</v>
      </c>
      <c r="AA8" s="41"/>
      <c r="AB8" s="41"/>
      <c r="AC8" s="162">
        <f>Z8+AA8-AB8</f>
        <v>1123714.900163644</v>
      </c>
      <c r="AD8" s="41">
        <v>0</v>
      </c>
      <c r="AE8" s="134">
        <v>0</v>
      </c>
    </row>
    <row r="9" spans="1:46">
      <c r="A9" s="118" t="s">
        <v>34</v>
      </c>
      <c r="B9" s="95">
        <v>94493221</v>
      </c>
      <c r="C9" s="127">
        <v>166203299</v>
      </c>
      <c r="D9" s="206">
        <v>7000000</v>
      </c>
      <c r="E9" s="30">
        <f t="shared" si="4"/>
        <v>31819.628164916587</v>
      </c>
      <c r="F9" s="31">
        <f t="shared" ref="F9:F22" si="7">D9/30</f>
        <v>233333.33333333334</v>
      </c>
      <c r="G9" s="61">
        <v>15</v>
      </c>
      <c r="H9" s="194">
        <f>G9*F9</f>
        <v>3500000</v>
      </c>
      <c r="I9" s="49"/>
      <c r="J9" s="62"/>
      <c r="K9" s="51">
        <f>((($B$26/2)*8%)/15)*G9</f>
        <v>70036.2</v>
      </c>
      <c r="L9" s="67"/>
      <c r="M9" s="173">
        <f t="shared" ref="M9:M22" si="8">(E9*($M$4+1)*L9)</f>
        <v>0</v>
      </c>
      <c r="N9" s="69"/>
      <c r="O9" s="35">
        <f t="shared" ref="O9:O23" si="9">(E9*($O$4)*N9)</f>
        <v>0</v>
      </c>
      <c r="P9" s="70"/>
      <c r="Q9" s="35">
        <f>(E9*($Q$4+1)*P9)</f>
        <v>0</v>
      </c>
      <c r="R9" s="71"/>
      <c r="S9" s="35">
        <f t="shared" ref="S9:S22" si="10">(E9*($S$4)*R9)</f>
        <v>0</v>
      </c>
      <c r="T9" s="68"/>
      <c r="U9" s="35">
        <f t="shared" si="6"/>
        <v>0</v>
      </c>
      <c r="V9" s="67"/>
      <c r="W9" s="62">
        <f>(E9*($W$4+1)*V9)</f>
        <v>0</v>
      </c>
      <c r="X9" s="69"/>
      <c r="Y9" s="72">
        <f>(E9*($Y$4+1)*X9)</f>
        <v>0</v>
      </c>
      <c r="Z9" s="31">
        <f>H9+I9+J9+M9+O9+S9+U9+W9+Y9-K9+Q9</f>
        <v>3429963.8</v>
      </c>
      <c r="AA9" s="211"/>
      <c r="AB9" s="203"/>
      <c r="AC9" s="181">
        <f>Z9+AA9-AB9</f>
        <v>3429963.8</v>
      </c>
      <c r="AD9" s="41">
        <v>0</v>
      </c>
      <c r="AE9" s="134">
        <v>0</v>
      </c>
    </row>
    <row r="10" spans="1:46">
      <c r="A10" s="113" t="s">
        <v>35</v>
      </c>
      <c r="B10" s="28">
        <v>1111797488</v>
      </c>
      <c r="C10" s="208">
        <v>487416612</v>
      </c>
      <c r="D10" s="202">
        <f>B26+50000</f>
        <v>1800905</v>
      </c>
      <c r="E10" s="30">
        <f t="shared" si="4"/>
        <v>8186.3039229055858</v>
      </c>
      <c r="F10" s="31">
        <f t="shared" si="7"/>
        <v>60030.166666666664</v>
      </c>
      <c r="G10" s="43">
        <v>12</v>
      </c>
      <c r="H10" s="194">
        <f>G10*F10</f>
        <v>720362</v>
      </c>
      <c r="I10" s="49">
        <f t="shared" si="5"/>
        <v>99638</v>
      </c>
      <c r="J10" s="33">
        <v>1459354</v>
      </c>
      <c r="K10" s="51">
        <f>((($B$26/2)*8%)/15)*G10</f>
        <v>56028.959999999999</v>
      </c>
      <c r="L10" s="38"/>
      <c r="M10" s="173">
        <f>(E10*($M$4+1)*L10)</f>
        <v>0</v>
      </c>
      <c r="N10" s="19"/>
      <c r="O10" s="35">
        <f t="shared" si="9"/>
        <v>0</v>
      </c>
      <c r="P10" s="52"/>
      <c r="Q10" s="35">
        <f>(E10*($Q$4+1)*P10)</f>
        <v>0</v>
      </c>
      <c r="R10" s="38"/>
      <c r="S10" s="35">
        <f t="shared" si="10"/>
        <v>0</v>
      </c>
      <c r="T10" s="35"/>
      <c r="U10" s="35">
        <f t="shared" si="6"/>
        <v>0</v>
      </c>
      <c r="V10" s="38"/>
      <c r="W10" s="31">
        <f>(E10*($W$4)*V10)</f>
        <v>0</v>
      </c>
      <c r="X10" s="19"/>
      <c r="Y10" s="31">
        <f>(E10*($Y$4)*X10)</f>
        <v>0</v>
      </c>
      <c r="Z10" s="60">
        <f>H10+I10+J10+M10+O10+S10+U10+W10+Y10-K10+Q10</f>
        <v>2223325.04</v>
      </c>
      <c r="AA10" s="41">
        <v>100000</v>
      </c>
      <c r="AB10" s="212"/>
      <c r="AC10" s="163">
        <f>Z10+AA10-AB10</f>
        <v>2323325.04</v>
      </c>
      <c r="AD10" s="41">
        <v>0</v>
      </c>
      <c r="AE10" s="134">
        <v>0</v>
      </c>
      <c r="AH10" s="76"/>
    </row>
    <row r="11" spans="1:46">
      <c r="A11" s="116" t="s">
        <v>38</v>
      </c>
      <c r="B11" s="28">
        <v>1007838659</v>
      </c>
      <c r="C11" s="79">
        <v>487432619</v>
      </c>
      <c r="D11" s="202">
        <f>B26</f>
        <v>1750905</v>
      </c>
      <c r="E11" s="30">
        <f t="shared" si="4"/>
        <v>7959.0208645847533</v>
      </c>
      <c r="F11" s="31">
        <f>D11/30</f>
        <v>58363.5</v>
      </c>
      <c r="G11" s="43">
        <v>15</v>
      </c>
      <c r="H11" s="195">
        <f>G11*F11</f>
        <v>875452.5</v>
      </c>
      <c r="I11" s="49">
        <f t="shared" si="5"/>
        <v>124547.49999999999</v>
      </c>
      <c r="J11" s="167"/>
      <c r="K11" s="51">
        <f>((($B$26/2)*8%)/15)*G11</f>
        <v>70036.2</v>
      </c>
      <c r="L11" s="38"/>
      <c r="M11" s="173">
        <f t="shared" si="8"/>
        <v>0</v>
      </c>
      <c r="N11" s="19"/>
      <c r="O11" s="35">
        <f t="shared" si="9"/>
        <v>0</v>
      </c>
      <c r="P11" s="81"/>
      <c r="Q11" s="35">
        <f t="shared" si="1"/>
        <v>0</v>
      </c>
      <c r="R11" s="82"/>
      <c r="S11" s="35">
        <f t="shared" si="10"/>
        <v>0</v>
      </c>
      <c r="T11" s="35"/>
      <c r="U11" s="35">
        <f t="shared" si="6"/>
        <v>0</v>
      </c>
      <c r="V11" s="38"/>
      <c r="W11" s="31">
        <f t="shared" ref="W11:W22" si="11">(E11*($W$4)*V11)</f>
        <v>0</v>
      </c>
      <c r="X11" s="19"/>
      <c r="Y11" s="31">
        <f t="shared" ref="Y11:Y22" si="12">(E11*($Y$4)*X11)</f>
        <v>0</v>
      </c>
      <c r="Z11" s="31">
        <f t="shared" si="3"/>
        <v>929963.8</v>
      </c>
      <c r="AA11" s="41">
        <v>120000</v>
      </c>
      <c r="AB11" s="41"/>
      <c r="AC11" s="164">
        <f>Z11+AA11-AB11</f>
        <v>1049963.8</v>
      </c>
      <c r="AD11" s="41">
        <v>0</v>
      </c>
      <c r="AE11" s="134">
        <v>0</v>
      </c>
    </row>
    <row r="12" spans="1:46">
      <c r="A12" s="114" t="s">
        <v>39</v>
      </c>
      <c r="B12" s="28">
        <v>1006202963</v>
      </c>
      <c r="C12" s="84" t="s">
        <v>40</v>
      </c>
      <c r="D12" s="202">
        <f>B26+50000</f>
        <v>1800905</v>
      </c>
      <c r="E12" s="30">
        <f t="shared" si="4"/>
        <v>8186.3039229055858</v>
      </c>
      <c r="F12" s="31">
        <f t="shared" si="7"/>
        <v>60030.166666666664</v>
      </c>
      <c r="G12" s="85">
        <v>15</v>
      </c>
      <c r="H12" s="195">
        <f>G12*F12</f>
        <v>900452.5</v>
      </c>
      <c r="I12" s="49">
        <f>(249095/30)*G12</f>
        <v>124547.49999999999</v>
      </c>
      <c r="J12" s="33"/>
      <c r="K12" s="166">
        <f>((($B$26/2)*8%)/15)*G12</f>
        <v>70036.2</v>
      </c>
      <c r="L12" s="87"/>
      <c r="M12" s="173">
        <f t="shared" si="8"/>
        <v>0</v>
      </c>
      <c r="N12" s="89"/>
      <c r="O12" s="35">
        <f t="shared" si="9"/>
        <v>0</v>
      </c>
      <c r="P12" s="52"/>
      <c r="Q12" s="35">
        <f>(E12*($Q$4+1)*P12)</f>
        <v>0</v>
      </c>
      <c r="R12" s="90"/>
      <c r="S12" s="35">
        <f t="shared" si="10"/>
        <v>0</v>
      </c>
      <c r="T12" s="88"/>
      <c r="U12" s="35">
        <f t="shared" si="6"/>
        <v>0</v>
      </c>
      <c r="V12" s="87"/>
      <c r="W12" s="60">
        <f t="shared" si="11"/>
        <v>0</v>
      </c>
      <c r="X12" s="89"/>
      <c r="Y12" s="60">
        <f t="shared" si="12"/>
        <v>0</v>
      </c>
      <c r="Z12" s="31">
        <f t="shared" si="3"/>
        <v>954963.8</v>
      </c>
      <c r="AA12" s="213">
        <v>100000</v>
      </c>
      <c r="AB12" s="41">
        <v>150000</v>
      </c>
      <c r="AC12" s="231">
        <f>Z12+AA12-AB12</f>
        <v>904963.8</v>
      </c>
      <c r="AD12" s="41">
        <v>0</v>
      </c>
      <c r="AE12" s="134">
        <v>0</v>
      </c>
      <c r="AF12" s="109"/>
    </row>
    <row r="13" spans="1:46" ht="46.5" customHeight="1">
      <c r="A13" s="117" t="s">
        <v>44</v>
      </c>
      <c r="B13" s="28">
        <v>1018502331</v>
      </c>
      <c r="C13" s="19">
        <v>484605035</v>
      </c>
      <c r="D13" s="233">
        <f>(1800000*10%)+1800000</f>
        <v>1980000</v>
      </c>
      <c r="E13" s="30">
        <f>F13/7.333</f>
        <v>9000.4091095049771</v>
      </c>
      <c r="F13" s="31">
        <f>D13/30</f>
        <v>66000</v>
      </c>
      <c r="G13" s="85">
        <v>15</v>
      </c>
      <c r="H13" s="194">
        <f>G13*F13</f>
        <v>990000</v>
      </c>
      <c r="I13" s="49">
        <f>(249095/30)*G13</f>
        <v>124547.49999999999</v>
      </c>
      <c r="J13" s="86"/>
      <c r="K13" s="51">
        <f>((($B$26/2)*8%)/15)*G13</f>
        <v>70036.2</v>
      </c>
      <c r="L13" s="87">
        <v>7</v>
      </c>
      <c r="M13" s="232">
        <f>(E13*($M$4+1)*L13)</f>
        <v>78753.57970816856</v>
      </c>
      <c r="N13" s="89"/>
      <c r="O13" s="35">
        <f>(E13*($O$4)*N13)</f>
        <v>0</v>
      </c>
      <c r="P13" s="52"/>
      <c r="Q13" s="35">
        <f>(E13*($Q$4+1)*P13)</f>
        <v>0</v>
      </c>
      <c r="R13" s="90"/>
      <c r="S13" s="35">
        <f>(E13*($S$4)*R13)</f>
        <v>0</v>
      </c>
      <c r="T13" s="88"/>
      <c r="U13" s="35">
        <f>(E13*($U$4)*T13)</f>
        <v>0</v>
      </c>
      <c r="V13" s="87"/>
      <c r="W13" s="60">
        <f>(E13*($W$4)*V13)</f>
        <v>0</v>
      </c>
      <c r="X13" s="89"/>
      <c r="Y13" s="60">
        <f>(E13*($Y$4)*X13)</f>
        <v>0</v>
      </c>
      <c r="Z13" s="31">
        <f>H13+I13+J13+M13+O13+S13+U13+W13+Y13-K13+Q13</f>
        <v>1123264.8797081686</v>
      </c>
      <c r="AA13" s="213"/>
      <c r="AB13" s="41"/>
      <c r="AC13" s="162">
        <f>Z13+AA13-AB13</f>
        <v>1123264.8797081686</v>
      </c>
      <c r="AD13" s="212">
        <v>150000</v>
      </c>
      <c r="AE13" s="180">
        <f>1190000-150000-150000-150000-150000</f>
        <v>590000</v>
      </c>
      <c r="AF13" s="234" t="s">
        <v>74</v>
      </c>
      <c r="AG13" s="186" t="s">
        <v>82</v>
      </c>
    </row>
    <row r="14" spans="1:46" s="147" customFormat="1">
      <c r="A14" s="146"/>
      <c r="B14" s="28"/>
      <c r="C14" s="79"/>
      <c r="D14" s="143"/>
      <c r="E14" s="30">
        <f t="shared" si="4"/>
        <v>0</v>
      </c>
      <c r="F14" s="31"/>
      <c r="G14" s="85"/>
      <c r="H14" s="196">
        <f>SUM(H5:H12)-H9</f>
        <v>6792839.5</v>
      </c>
      <c r="I14" s="166"/>
      <c r="J14" s="51"/>
      <c r="K14" s="51"/>
      <c r="L14" s="87"/>
      <c r="M14" s="173">
        <f t="shared" si="8"/>
        <v>0</v>
      </c>
      <c r="N14" s="89"/>
      <c r="O14" s="35">
        <f t="shared" si="9"/>
        <v>0</v>
      </c>
      <c r="P14" s="37"/>
      <c r="Q14" s="101">
        <f>SUM(Q9:Q12)</f>
        <v>0</v>
      </c>
      <c r="R14" s="90"/>
      <c r="S14" s="35">
        <f t="shared" si="10"/>
        <v>0</v>
      </c>
      <c r="T14" s="88"/>
      <c r="U14" s="35">
        <f t="shared" si="6"/>
        <v>0</v>
      </c>
      <c r="V14" s="87"/>
      <c r="W14" s="60"/>
      <c r="X14" s="89"/>
      <c r="Y14" s="60"/>
      <c r="Z14" s="31"/>
      <c r="AA14" s="91"/>
      <c r="AB14" s="45"/>
      <c r="AC14" s="176">
        <f>SUM(AC5:AC13)-AC9</f>
        <v>10430459.219871815</v>
      </c>
      <c r="AD14" s="133" t="s">
        <v>75</v>
      </c>
      <c r="AE14" s="134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</row>
    <row r="15" spans="1:46" s="147" customFormat="1">
      <c r="A15" s="146"/>
      <c r="B15" s="28"/>
      <c r="C15" s="79"/>
      <c r="D15" s="143"/>
      <c r="E15" s="30">
        <f t="shared" si="4"/>
        <v>0</v>
      </c>
      <c r="F15" s="31"/>
      <c r="G15" s="85"/>
      <c r="H15" s="197"/>
      <c r="I15" s="51"/>
      <c r="J15" s="51"/>
      <c r="K15" s="51"/>
      <c r="L15" s="87"/>
      <c r="M15" s="173">
        <f t="shared" si="8"/>
        <v>0</v>
      </c>
      <c r="N15" s="89"/>
      <c r="O15" s="35">
        <f t="shared" si="9"/>
        <v>0</v>
      </c>
      <c r="P15" s="37"/>
      <c r="Q15" s="35">
        <f t="shared" ref="Q15" si="13">(E15*($Q$4)*P15)</f>
        <v>0</v>
      </c>
      <c r="R15" s="90"/>
      <c r="S15" s="35">
        <f t="shared" si="10"/>
        <v>0</v>
      </c>
      <c r="T15" s="88"/>
      <c r="U15" s="35">
        <f t="shared" si="6"/>
        <v>0</v>
      </c>
      <c r="V15" s="87"/>
      <c r="W15" s="60"/>
      <c r="X15" s="89"/>
      <c r="Y15" s="60"/>
      <c r="Z15" s="31"/>
      <c r="AA15" s="91"/>
      <c r="AB15" s="45"/>
      <c r="AC15" s="53"/>
      <c r="AD15" s="133"/>
      <c r="AE15" s="134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</row>
    <row r="16" spans="1:46" ht="13.5" customHeight="1">
      <c r="A16" s="117" t="s">
        <v>43</v>
      </c>
      <c r="B16" s="28">
        <v>1116242414</v>
      </c>
      <c r="C16" s="79">
        <v>186736849</v>
      </c>
      <c r="D16" s="138">
        <f>(1800000*10%)+1800000</f>
        <v>1980000</v>
      </c>
      <c r="E16" s="30">
        <f t="shared" si="4"/>
        <v>9000.4091095049771</v>
      </c>
      <c r="F16" s="31">
        <f t="shared" si="7"/>
        <v>66000</v>
      </c>
      <c r="G16" s="85">
        <v>15</v>
      </c>
      <c r="H16" s="194">
        <f>G16*F16</f>
        <v>990000</v>
      </c>
      <c r="I16" s="49">
        <f t="shared" si="5"/>
        <v>124547.49999999999</v>
      </c>
      <c r="J16" s="86"/>
      <c r="K16" s="51">
        <f>((($B$26/2)*8%)/15)*G16</f>
        <v>70036.2</v>
      </c>
      <c r="L16" s="87"/>
      <c r="M16" s="173">
        <f t="shared" si="8"/>
        <v>0</v>
      </c>
      <c r="N16" s="89"/>
      <c r="O16" s="35">
        <f t="shared" si="9"/>
        <v>0</v>
      </c>
      <c r="P16" s="52"/>
      <c r="Q16" s="35">
        <f t="shared" ref="Q16:Q22" si="14">(E16*($Q$4+1)*P16)</f>
        <v>0</v>
      </c>
      <c r="R16" s="90"/>
      <c r="S16" s="35">
        <f t="shared" si="10"/>
        <v>0</v>
      </c>
      <c r="T16" s="88"/>
      <c r="U16" s="35">
        <f t="shared" si="6"/>
        <v>0</v>
      </c>
      <c r="V16" s="87"/>
      <c r="W16" s="60">
        <f t="shared" si="11"/>
        <v>0</v>
      </c>
      <c r="X16" s="89"/>
      <c r="Y16" s="60">
        <f t="shared" si="12"/>
        <v>0</v>
      </c>
      <c r="Z16" s="31">
        <f>H16+I16+J16+M16+O16+S16+U16+W16+Y16-K16+Q16</f>
        <v>1044511.3</v>
      </c>
      <c r="AA16" s="91"/>
      <c r="AB16" s="45"/>
      <c r="AC16" s="162">
        <f>Z16+AA16-AB16</f>
        <v>1044511.3</v>
      </c>
      <c r="AD16" s="41">
        <v>0</v>
      </c>
      <c r="AE16" s="47"/>
    </row>
    <row r="17" spans="1:33" ht="13.5" customHeight="1">
      <c r="A17" s="116" t="s">
        <v>45</v>
      </c>
      <c r="B17" s="28">
        <v>16501191</v>
      </c>
      <c r="C17" s="19">
        <v>186817789</v>
      </c>
      <c r="D17" s="144">
        <f>B26</f>
        <v>1750905</v>
      </c>
      <c r="E17" s="30">
        <f t="shared" si="4"/>
        <v>7959.0208645847533</v>
      </c>
      <c r="F17" s="31">
        <f t="shared" si="7"/>
        <v>58363.5</v>
      </c>
      <c r="G17" s="85">
        <v>15</v>
      </c>
      <c r="H17" s="194">
        <f t="shared" ref="H17:H22" si="15">G17*F17</f>
        <v>875452.5</v>
      </c>
      <c r="I17" s="49">
        <f t="shared" si="5"/>
        <v>124547.49999999999</v>
      </c>
      <c r="J17" s="94"/>
      <c r="K17" s="51">
        <f>((($B$26/2)*8%)/15)*G17</f>
        <v>70036.2</v>
      </c>
      <c r="L17" s="87">
        <v>8</v>
      </c>
      <c r="M17" s="173">
        <f t="shared" si="8"/>
        <v>79590.208645847539</v>
      </c>
      <c r="N17" s="89"/>
      <c r="O17" s="35">
        <f t="shared" si="9"/>
        <v>0</v>
      </c>
      <c r="P17" s="52">
        <v>16</v>
      </c>
      <c r="Q17" s="35">
        <f t="shared" si="14"/>
        <v>229219.80090004089</v>
      </c>
      <c r="R17" s="90"/>
      <c r="S17" s="35">
        <f t="shared" si="10"/>
        <v>0</v>
      </c>
      <c r="T17" s="88"/>
      <c r="U17" s="35">
        <f t="shared" si="6"/>
        <v>0</v>
      </c>
      <c r="V17" s="87"/>
      <c r="W17" s="60">
        <f t="shared" si="11"/>
        <v>0</v>
      </c>
      <c r="X17" s="89"/>
      <c r="Y17" s="60">
        <f t="shared" si="12"/>
        <v>0</v>
      </c>
      <c r="Z17" s="31">
        <f t="shared" si="3"/>
        <v>1238773.8095458886</v>
      </c>
      <c r="AA17" s="91"/>
      <c r="AB17" s="45"/>
      <c r="AC17" s="162">
        <f>Z17+AA17-AB17</f>
        <v>1238773.8095458886</v>
      </c>
      <c r="AD17" s="41">
        <v>0</v>
      </c>
      <c r="AE17" s="47"/>
    </row>
    <row r="18" spans="1:33" ht="13.5" customHeight="1">
      <c r="A18" s="116" t="s">
        <v>47</v>
      </c>
      <c r="B18" s="28">
        <v>16505237</v>
      </c>
      <c r="C18" s="19">
        <v>186817573</v>
      </c>
      <c r="D18" s="144">
        <f>B26</f>
        <v>1750905</v>
      </c>
      <c r="E18" s="30">
        <f t="shared" si="4"/>
        <v>7959.0208645847533</v>
      </c>
      <c r="F18" s="31">
        <f t="shared" si="7"/>
        <v>58363.5</v>
      </c>
      <c r="G18" s="85">
        <v>15</v>
      </c>
      <c r="H18" s="194">
        <f t="shared" si="15"/>
        <v>875452.5</v>
      </c>
      <c r="I18" s="49">
        <f t="shared" si="5"/>
        <v>124547.49999999999</v>
      </c>
      <c r="J18" s="86"/>
      <c r="K18" s="51">
        <f>((($B$26/2)*8%)/15)*G18</f>
        <v>70036.2</v>
      </c>
      <c r="L18" s="87">
        <v>8</v>
      </c>
      <c r="M18" s="173">
        <f t="shared" si="8"/>
        <v>79590.208645847539</v>
      </c>
      <c r="N18" s="89"/>
      <c r="O18" s="35">
        <f t="shared" si="9"/>
        <v>0</v>
      </c>
      <c r="P18" s="52">
        <v>8</v>
      </c>
      <c r="Q18" s="35">
        <f t="shared" si="14"/>
        <v>114609.90045002045</v>
      </c>
      <c r="R18" s="90"/>
      <c r="S18" s="35">
        <f t="shared" si="10"/>
        <v>0</v>
      </c>
      <c r="T18" s="88"/>
      <c r="U18" s="35">
        <f t="shared" si="6"/>
        <v>0</v>
      </c>
      <c r="V18" s="87"/>
      <c r="W18" s="60">
        <f t="shared" si="11"/>
        <v>0</v>
      </c>
      <c r="X18" s="89"/>
      <c r="Y18" s="60">
        <f t="shared" si="12"/>
        <v>0</v>
      </c>
      <c r="Z18" s="31">
        <f>H18+I18+J18+M18+O18+S18+U18+W18+Y18-K18+Q18</f>
        <v>1124163.909095868</v>
      </c>
      <c r="AA18" s="91"/>
      <c r="AB18" s="45"/>
      <c r="AC18" s="162">
        <f>Z18+AA18-AB18</f>
        <v>1124163.909095868</v>
      </c>
      <c r="AD18" s="41">
        <v>0</v>
      </c>
      <c r="AE18" s="47"/>
      <c r="AF18" s="26" t="s">
        <v>76</v>
      </c>
    </row>
    <row r="19" spans="1:33" ht="13.5" customHeight="1">
      <c r="A19" s="120" t="s">
        <v>48</v>
      </c>
      <c r="B19" s="28">
        <v>1111747391</v>
      </c>
      <c r="C19" s="219">
        <v>186817581</v>
      </c>
      <c r="D19" s="144">
        <f>(B26*C27)+B26</f>
        <v>1840201.155</v>
      </c>
      <c r="E19" s="30">
        <f t="shared" si="4"/>
        <v>8364.9309286785756</v>
      </c>
      <c r="F19" s="31">
        <f t="shared" si="7"/>
        <v>61340.038500000002</v>
      </c>
      <c r="G19" s="85">
        <v>15</v>
      </c>
      <c r="H19" s="194">
        <f>G19*F19</f>
        <v>920100.57750000001</v>
      </c>
      <c r="I19" s="49">
        <f t="shared" si="5"/>
        <v>124547.49999999999</v>
      </c>
      <c r="J19" s="86"/>
      <c r="K19" s="51">
        <f>((($B$26/2)*8%)/15)*G19</f>
        <v>70036.2</v>
      </c>
      <c r="L19" s="87"/>
      <c r="M19" s="173">
        <f t="shared" si="8"/>
        <v>0</v>
      </c>
      <c r="N19" s="89"/>
      <c r="O19" s="35">
        <f t="shared" si="9"/>
        <v>0</v>
      </c>
      <c r="P19" s="52"/>
      <c r="Q19" s="35">
        <f t="shared" si="14"/>
        <v>0</v>
      </c>
      <c r="R19" s="90"/>
      <c r="S19" s="35">
        <f t="shared" si="10"/>
        <v>0</v>
      </c>
      <c r="T19" s="88"/>
      <c r="U19" s="35">
        <f t="shared" si="6"/>
        <v>0</v>
      </c>
      <c r="V19" s="87"/>
      <c r="W19" s="60">
        <f t="shared" si="11"/>
        <v>0</v>
      </c>
      <c r="X19" s="89"/>
      <c r="Y19" s="60">
        <f t="shared" si="12"/>
        <v>0</v>
      </c>
      <c r="Z19" s="31">
        <f t="shared" si="3"/>
        <v>974611.87750000006</v>
      </c>
      <c r="AA19" s="91"/>
      <c r="AB19" s="45"/>
      <c r="AC19" s="162">
        <f>Z19+AA19-AB19</f>
        <v>974611.87750000006</v>
      </c>
      <c r="AD19" s="41">
        <v>0</v>
      </c>
      <c r="AE19" s="47"/>
    </row>
    <row r="20" spans="1:33" ht="13.5" customHeight="1">
      <c r="A20" s="116" t="s">
        <v>49</v>
      </c>
      <c r="B20" s="28">
        <v>1006188943</v>
      </c>
      <c r="C20" s="220">
        <v>186817607</v>
      </c>
      <c r="D20" s="142">
        <f>B26</f>
        <v>1750905</v>
      </c>
      <c r="E20" s="30">
        <f t="shared" si="4"/>
        <v>7959.0208645847533</v>
      </c>
      <c r="F20" s="31">
        <f t="shared" si="7"/>
        <v>58363.5</v>
      </c>
      <c r="G20" s="85">
        <v>15</v>
      </c>
      <c r="H20" s="194">
        <f t="shared" si="15"/>
        <v>875452.5</v>
      </c>
      <c r="I20" s="49">
        <f t="shared" si="5"/>
        <v>124547.49999999999</v>
      </c>
      <c r="J20" s="86"/>
      <c r="K20" s="51">
        <f>((($B$26/2)*8%)/15)*G20</f>
        <v>70036.2</v>
      </c>
      <c r="L20" s="87">
        <v>1</v>
      </c>
      <c r="M20" s="173">
        <f t="shared" si="8"/>
        <v>9948.7760807309423</v>
      </c>
      <c r="N20" s="89"/>
      <c r="O20" s="35">
        <f t="shared" si="9"/>
        <v>0</v>
      </c>
      <c r="P20" s="52">
        <v>16</v>
      </c>
      <c r="Q20" s="35">
        <f t="shared" si="14"/>
        <v>229219.80090004089</v>
      </c>
      <c r="R20" s="90"/>
      <c r="S20" s="35">
        <f t="shared" si="10"/>
        <v>0</v>
      </c>
      <c r="T20" s="88"/>
      <c r="U20" s="35">
        <f t="shared" si="6"/>
        <v>0</v>
      </c>
      <c r="V20" s="87"/>
      <c r="W20" s="60">
        <f t="shared" si="11"/>
        <v>0</v>
      </c>
      <c r="X20" s="89"/>
      <c r="Y20" s="60">
        <f t="shared" si="12"/>
        <v>0</v>
      </c>
      <c r="Z20" s="31">
        <f t="shared" si="3"/>
        <v>1169132.3769807718</v>
      </c>
      <c r="AA20" s="91"/>
      <c r="AB20" s="45"/>
      <c r="AC20" s="162">
        <f>Z20+AA20-AB20</f>
        <v>1169132.3769807718</v>
      </c>
      <c r="AD20" s="41">
        <v>0</v>
      </c>
      <c r="AE20" s="47"/>
      <c r="AG20" s="76"/>
    </row>
    <row r="21" spans="1:33" ht="13.5" customHeight="1">
      <c r="A21" s="116" t="s">
        <v>50</v>
      </c>
      <c r="B21" s="95">
        <v>1006203947</v>
      </c>
      <c r="C21" s="219">
        <v>186821369</v>
      </c>
      <c r="D21" s="145">
        <f>B26</f>
        <v>1750905</v>
      </c>
      <c r="E21" s="30">
        <f t="shared" si="4"/>
        <v>7959.0208645847533</v>
      </c>
      <c r="F21" s="31">
        <f t="shared" si="7"/>
        <v>58363.5</v>
      </c>
      <c r="G21" s="85">
        <v>15</v>
      </c>
      <c r="H21" s="194">
        <f t="shared" si="15"/>
        <v>875452.5</v>
      </c>
      <c r="I21" s="49">
        <f t="shared" si="5"/>
        <v>124547.49999999999</v>
      </c>
      <c r="J21" s="86"/>
      <c r="K21" s="51">
        <f>((($B$26/2)*8%)/15)*G21</f>
        <v>70036.2</v>
      </c>
      <c r="L21" s="87">
        <v>2</v>
      </c>
      <c r="M21" s="173">
        <f t="shared" si="8"/>
        <v>19897.552161461885</v>
      </c>
      <c r="N21" s="89"/>
      <c r="O21" s="35">
        <f t="shared" si="9"/>
        <v>0</v>
      </c>
      <c r="P21" s="52"/>
      <c r="Q21" s="35">
        <f t="shared" si="14"/>
        <v>0</v>
      </c>
      <c r="R21" s="90"/>
      <c r="S21" s="35">
        <f t="shared" si="10"/>
        <v>0</v>
      </c>
      <c r="T21" s="88"/>
      <c r="U21" s="35">
        <f t="shared" si="6"/>
        <v>0</v>
      </c>
      <c r="V21" s="87"/>
      <c r="W21" s="60">
        <f t="shared" si="11"/>
        <v>0</v>
      </c>
      <c r="X21" s="89"/>
      <c r="Y21" s="60">
        <f t="shared" si="12"/>
        <v>0</v>
      </c>
      <c r="Z21" s="31">
        <f t="shared" si="3"/>
        <v>949861.35216146195</v>
      </c>
      <c r="AA21" s="91"/>
      <c r="AB21" s="45"/>
      <c r="AC21" s="162">
        <f>Z21+AA21-AB21</f>
        <v>949861.35216146195</v>
      </c>
      <c r="AD21" s="41">
        <v>0</v>
      </c>
      <c r="AE21" s="47"/>
      <c r="AG21" s="76"/>
    </row>
    <row r="22" spans="1:33" ht="13.5" customHeight="1">
      <c r="A22" s="119" t="s">
        <v>51</v>
      </c>
      <c r="B22" s="95">
        <v>1111814116</v>
      </c>
      <c r="C22" s="219">
        <v>186821385</v>
      </c>
      <c r="D22" s="143">
        <f>(2000000*C27)+2000000</f>
        <v>2102000</v>
      </c>
      <c r="E22" s="30">
        <f t="shared" si="4"/>
        <v>9554.9797718078098</v>
      </c>
      <c r="F22" s="131">
        <f t="shared" si="7"/>
        <v>70066.666666666672</v>
      </c>
      <c r="G22" s="85">
        <v>15</v>
      </c>
      <c r="H22" s="195">
        <f t="shared" si="15"/>
        <v>1051000</v>
      </c>
      <c r="I22" s="171">
        <f t="shared" si="5"/>
        <v>124547.49999999999</v>
      </c>
      <c r="J22" s="172"/>
      <c r="K22" s="51">
        <f>((($B$26/2)*8%)/15)*G22</f>
        <v>70036.2</v>
      </c>
      <c r="L22" s="87"/>
      <c r="M22" s="173">
        <f t="shared" si="8"/>
        <v>0</v>
      </c>
      <c r="N22" s="89"/>
      <c r="O22" s="35">
        <f t="shared" si="9"/>
        <v>0</v>
      </c>
      <c r="P22" s="52"/>
      <c r="Q22" s="35">
        <f t="shared" si="14"/>
        <v>0</v>
      </c>
      <c r="R22" s="90"/>
      <c r="S22" s="35">
        <f t="shared" si="10"/>
        <v>0</v>
      </c>
      <c r="T22" s="88"/>
      <c r="U22" s="35">
        <f t="shared" si="6"/>
        <v>0</v>
      </c>
      <c r="V22" s="87"/>
      <c r="W22" s="60">
        <f t="shared" si="11"/>
        <v>0</v>
      </c>
      <c r="X22" s="89"/>
      <c r="Y22" s="60">
        <f t="shared" si="12"/>
        <v>0</v>
      </c>
      <c r="Z22" s="31">
        <f t="shared" si="3"/>
        <v>1105511.3</v>
      </c>
      <c r="AA22" s="91"/>
      <c r="AB22" s="45"/>
      <c r="AC22" s="162">
        <f>Z22+AA22-AB22</f>
        <v>1105511.3</v>
      </c>
      <c r="AD22" s="41">
        <v>0</v>
      </c>
      <c r="AE22" s="47"/>
      <c r="AF22" s="217"/>
      <c r="AG22" s="76"/>
    </row>
    <row r="23" spans="1:33" s="147" customFormat="1" ht="13.5" customHeight="1">
      <c r="A23" s="146"/>
      <c r="B23" s="95"/>
      <c r="C23" s="19"/>
      <c r="D23" s="148"/>
      <c r="E23" s="149"/>
      <c r="F23" s="94"/>
      <c r="G23" s="85"/>
      <c r="H23" s="198">
        <f>SUM(H16:H22)</f>
        <v>6462910.5775000006</v>
      </c>
      <c r="I23" s="31"/>
      <c r="J23" s="31"/>
      <c r="K23" s="166"/>
      <c r="L23" s="87"/>
      <c r="M23" s="35">
        <f t="shared" ref="M23:M40" si="16">(E23*($M$4)*L23)</f>
        <v>0</v>
      </c>
      <c r="N23" s="89"/>
      <c r="O23" s="35">
        <f t="shared" si="9"/>
        <v>0</v>
      </c>
      <c r="P23" s="152"/>
      <c r="Q23" s="153">
        <f>SUM(Q16:Q22)</f>
        <v>573049.50225010223</v>
      </c>
      <c r="R23" s="90"/>
      <c r="S23" s="88"/>
      <c r="T23" s="88"/>
      <c r="U23" s="88"/>
      <c r="V23" s="87"/>
      <c r="W23" s="60"/>
      <c r="X23" s="89"/>
      <c r="Y23" s="60"/>
      <c r="Z23" s="31"/>
      <c r="AA23" s="91"/>
      <c r="AB23" s="45"/>
      <c r="AC23" s="176">
        <f>SUM(AC16:AC22)</f>
        <v>7606565.9252839899</v>
      </c>
      <c r="AD23" s="92"/>
      <c r="AE23" s="47"/>
      <c r="AG23" s="154"/>
    </row>
    <row r="24" spans="1:33" ht="13.5" customHeight="1">
      <c r="A24" s="20" t="s">
        <v>52</v>
      </c>
      <c r="B24" s="96"/>
      <c r="C24" s="47"/>
      <c r="D24" s="126"/>
      <c r="E24" s="132">
        <f>SUM(E5:E12)</f>
        <v>106684.33974271559</v>
      </c>
      <c r="F24" s="97">
        <f>SUM(F5:F22)</f>
        <v>1301328.0385</v>
      </c>
      <c r="G24" s="98"/>
      <c r="H24" s="199"/>
      <c r="I24" s="100">
        <f>SUM(I5:I12)</f>
        <v>597828</v>
      </c>
      <c r="J24" s="100">
        <f>SUM(J5:J22)</f>
        <v>1459354</v>
      </c>
      <c r="K24" s="170">
        <f>SUM(K5:K12)</f>
        <v>406209.96</v>
      </c>
      <c r="L24" s="20"/>
      <c r="M24" s="100">
        <f>SUM(M16:M23)</f>
        <v>189026.74553388791</v>
      </c>
      <c r="N24" s="20"/>
      <c r="O24" s="100">
        <f>SUM(O5:O12)</f>
        <v>0</v>
      </c>
      <c r="P24" s="99"/>
      <c r="Q24" s="99">
        <f>Q14+Q23</f>
        <v>573049.50225010223</v>
      </c>
      <c r="R24" s="20"/>
      <c r="S24" s="101">
        <f>SUM(S5:S12)</f>
        <v>18000.818219009954</v>
      </c>
      <c r="T24" s="35"/>
      <c r="U24" s="101">
        <f>SUM(U5:U12)</f>
        <v>0</v>
      </c>
      <c r="V24" s="20"/>
      <c r="W24" s="100">
        <f>SUM(W5:W12)</f>
        <v>0</v>
      </c>
      <c r="X24" s="20"/>
      <c r="Y24" s="100">
        <f>SUM(Y5:Y12)</f>
        <v>0</v>
      </c>
      <c r="Z24" s="239">
        <f>SUM(Z5:Z22)</f>
        <v>20752845.945155807</v>
      </c>
      <c r="AA24" s="103">
        <f>SUM(AA5:AA12)</f>
        <v>1064143</v>
      </c>
      <c r="AB24" s="103">
        <f>SUM(AB5:AB12)</f>
        <v>350000</v>
      </c>
      <c r="AC24" s="104">
        <f>AC14+AC23</f>
        <v>18037025.145155806</v>
      </c>
      <c r="AD24" s="58" t="s">
        <v>78</v>
      </c>
      <c r="AE24" s="105"/>
    </row>
    <row r="25" spans="1:33" ht="15">
      <c r="A25" s="247" t="s">
        <v>54</v>
      </c>
      <c r="B25" s="247"/>
      <c r="C25" s="247"/>
      <c r="D25" s="247"/>
      <c r="E25" s="247"/>
      <c r="F25" s="247"/>
      <c r="G25" s="247"/>
      <c r="H25" s="247"/>
      <c r="I25" s="247"/>
      <c r="AC25" s="154"/>
    </row>
    <row r="26" spans="1:33" ht="15">
      <c r="A26" s="21" t="s">
        <v>55</v>
      </c>
      <c r="B26" s="22">
        <v>1750905</v>
      </c>
      <c r="C26" s="135" t="s">
        <v>56</v>
      </c>
      <c r="D26" s="16"/>
      <c r="E26" s="16"/>
      <c r="F26" s="16"/>
      <c r="G26" s="16"/>
      <c r="H26" s="16"/>
      <c r="I26" s="16"/>
      <c r="AC26" s="154"/>
      <c r="AD26" s="185"/>
    </row>
    <row r="27" spans="1:33" ht="15">
      <c r="A27" s="23" t="s">
        <v>57</v>
      </c>
      <c r="B27" s="24">
        <v>249095</v>
      </c>
      <c r="C27" s="136">
        <v>5.0999999999999997E-2</v>
      </c>
      <c r="D27" s="16"/>
      <c r="E27" s="16"/>
      <c r="F27" s="16"/>
      <c r="G27" s="16"/>
      <c r="H27" s="16"/>
      <c r="I27" s="16"/>
      <c r="AC27" s="154"/>
      <c r="AE27" s="106"/>
    </row>
    <row r="28" spans="1:33" ht="15">
      <c r="A28" s="16"/>
      <c r="B28" s="16"/>
      <c r="C28" s="16"/>
      <c r="D28" s="16"/>
      <c r="E28" s="16"/>
      <c r="F28" s="16"/>
      <c r="G28" s="16"/>
      <c r="H28" s="16"/>
      <c r="I28" s="16"/>
      <c r="AC28" s="183"/>
      <c r="AE28" s="106"/>
    </row>
    <row r="29" spans="1:33" ht="29.25">
      <c r="A29" s="125" t="s">
        <v>58</v>
      </c>
      <c r="B29" s="16"/>
      <c r="C29" s="16"/>
      <c r="D29" s="16"/>
      <c r="E29" s="16"/>
      <c r="F29" s="16"/>
      <c r="G29" s="16"/>
      <c r="H29" s="16"/>
      <c r="I29" s="16"/>
      <c r="AC29" s="154"/>
      <c r="AE29" s="106"/>
      <c r="AG29" s="107"/>
    </row>
    <row r="30" spans="1:33" ht="15">
      <c r="A30" s="245" t="s">
        <v>59</v>
      </c>
      <c r="B30" s="16"/>
      <c r="C30" s="16"/>
      <c r="D30" s="16"/>
      <c r="E30" s="16"/>
      <c r="F30" s="16"/>
      <c r="G30" s="16"/>
      <c r="H30" s="16"/>
      <c r="I30" s="16"/>
      <c r="M30" s="249" t="s">
        <v>60</v>
      </c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AC30" s="147"/>
      <c r="AE30" s="106"/>
    </row>
    <row r="31" spans="1:33" ht="15">
      <c r="A31" s="245"/>
      <c r="B31" s="16"/>
      <c r="C31" s="16"/>
      <c r="D31" s="16"/>
      <c r="E31" s="16"/>
      <c r="F31" s="16"/>
      <c r="G31" s="16"/>
      <c r="H31" s="16"/>
      <c r="I31" s="16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AC31" s="147"/>
      <c r="AE31" s="106"/>
    </row>
    <row r="32" spans="1:33">
      <c r="A32" s="26" t="s">
        <v>83</v>
      </c>
      <c r="F32" s="108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49"/>
      <c r="Y32" s="249"/>
      <c r="AC32" s="147"/>
      <c r="AE32" s="106"/>
    </row>
    <row r="33" spans="4:31">
      <c r="M33" s="250" t="s">
        <v>61</v>
      </c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AE33" s="106"/>
    </row>
    <row r="34" spans="4:31">
      <c r="J34" s="109"/>
      <c r="AE34" s="106"/>
    </row>
    <row r="35" spans="4:31">
      <c r="F35" s="108"/>
      <c r="J35" s="109"/>
      <c r="AE35" s="106"/>
    </row>
    <row r="36" spans="4:31">
      <c r="J36" s="109"/>
      <c r="AE36" s="106"/>
    </row>
    <row r="37" spans="4:31" ht="43.5" customHeight="1">
      <c r="D37" s="248" t="s">
        <v>62</v>
      </c>
      <c r="E37" s="248"/>
      <c r="F37" s="248"/>
      <c r="G37" s="26">
        <v>8</v>
      </c>
      <c r="AE37" s="106"/>
    </row>
    <row r="38" spans="4:31">
      <c r="J38" s="109"/>
      <c r="AE38" s="106"/>
    </row>
  </sheetData>
  <mergeCells count="9">
    <mergeCell ref="D37:F37"/>
    <mergeCell ref="A1:AC1"/>
    <mergeCell ref="A2:AC2"/>
    <mergeCell ref="A3:AC3"/>
    <mergeCell ref="AD3:AE3"/>
    <mergeCell ref="A25:I25"/>
    <mergeCell ref="A30:A31"/>
    <mergeCell ref="M30:Y32"/>
    <mergeCell ref="M33:Y33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9E5E-835C-4DCF-918D-BD1DAA7EC389}">
  <dimension ref="A1:AT37"/>
  <sheetViews>
    <sheetView tabSelected="1" workbookViewId="0">
      <pane xSplit="3" topLeftCell="K1" activePane="topRight" state="frozen"/>
      <selection pane="topRight" activeCell="A10" activeCellId="1" sqref="A5:B7 A10:B12"/>
    </sheetView>
  </sheetViews>
  <sheetFormatPr defaultRowHeight="13.5"/>
  <cols>
    <col min="1" max="1" width="48.7109375" style="26" customWidth="1"/>
    <col min="2" max="2" width="12.140625" style="26" bestFit="1" customWidth="1"/>
    <col min="3" max="3" width="17.5703125" style="26" customWidth="1"/>
    <col min="4" max="4" width="15.7109375" style="26" customWidth="1"/>
    <col min="5" max="5" width="11" style="26" customWidth="1"/>
    <col min="6" max="6" width="13.28515625" style="26" customWidth="1"/>
    <col min="7" max="7" width="12.28515625" style="26" customWidth="1"/>
    <col min="8" max="8" width="12.7109375" style="26" customWidth="1"/>
    <col min="9" max="9" width="12.28515625" style="26" customWidth="1"/>
    <col min="10" max="10" width="17.85546875" style="26" customWidth="1"/>
    <col min="11" max="11" width="15.28515625" style="26" customWidth="1"/>
    <col min="12" max="12" width="9.140625" style="26"/>
    <col min="13" max="13" width="12.42578125" style="26" customWidth="1"/>
    <col min="14" max="16" width="9.140625" style="26"/>
    <col min="17" max="17" width="12.140625" style="26" customWidth="1"/>
    <col min="18" max="24" width="9.140625" style="26"/>
    <col min="25" max="25" width="10.85546875" style="26" customWidth="1"/>
    <col min="26" max="26" width="13.5703125" style="26" bestFit="1" customWidth="1"/>
    <col min="27" max="27" width="16.5703125" style="26" customWidth="1"/>
    <col min="28" max="28" width="14.85546875" style="26" customWidth="1"/>
    <col min="29" max="29" width="14.42578125" style="26" customWidth="1"/>
    <col min="30" max="30" width="18.28515625" style="26" customWidth="1"/>
    <col min="31" max="31" width="15.28515625" style="26" customWidth="1"/>
    <col min="32" max="32" width="23.7109375" style="26" customWidth="1"/>
    <col min="33" max="33" width="36.5703125" style="26" bestFit="1" customWidth="1"/>
    <col min="34" max="34" width="18.28515625" style="26" customWidth="1"/>
    <col min="35" max="16384" width="9.140625" style="26"/>
  </cols>
  <sheetData>
    <row r="1" spans="1:46" ht="21">
      <c r="A1" s="251" t="s">
        <v>0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"/>
    </row>
    <row r="2" spans="1:46" ht="21">
      <c r="A2" s="252" t="s">
        <v>84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7"/>
    </row>
    <row r="3" spans="1:46" ht="21">
      <c r="A3" s="251" t="s">
        <v>2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  <c r="AC3" s="251"/>
      <c r="AD3" s="246" t="s">
        <v>3</v>
      </c>
      <c r="AE3" s="246"/>
    </row>
    <row r="4" spans="1:46" ht="38.25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4" t="s">
        <v>72</v>
      </c>
      <c r="K4" s="3" t="s">
        <v>65</v>
      </c>
      <c r="L4" s="5" t="s">
        <v>15</v>
      </c>
      <c r="M4" s="6">
        <v>0.25</v>
      </c>
      <c r="N4" s="7" t="s">
        <v>16</v>
      </c>
      <c r="O4" s="8">
        <v>0.75</v>
      </c>
      <c r="P4" s="9" t="s">
        <v>17</v>
      </c>
      <c r="Q4" s="9">
        <v>0.8</v>
      </c>
      <c r="R4" s="10" t="s">
        <v>18</v>
      </c>
      <c r="S4" s="11">
        <v>1</v>
      </c>
      <c r="T4" s="12" t="s">
        <v>19</v>
      </c>
      <c r="U4" s="12">
        <v>1.1000000000000001</v>
      </c>
      <c r="V4" s="5" t="s">
        <v>20</v>
      </c>
      <c r="W4" s="6">
        <v>1.5</v>
      </c>
      <c r="X4" s="4" t="s">
        <v>21</v>
      </c>
      <c r="Y4" s="9">
        <v>0.35</v>
      </c>
      <c r="Z4" s="13" t="s">
        <v>22</v>
      </c>
      <c r="AA4" s="3" t="s">
        <v>23</v>
      </c>
      <c r="AB4" s="14" t="s">
        <v>24</v>
      </c>
      <c r="AC4" s="158" t="s">
        <v>25</v>
      </c>
      <c r="AD4" s="14" t="s">
        <v>26</v>
      </c>
      <c r="AE4" s="15" t="s">
        <v>27</v>
      </c>
    </row>
    <row r="5" spans="1:46">
      <c r="A5" s="17" t="s">
        <v>28</v>
      </c>
      <c r="B5" s="28">
        <v>94558569</v>
      </c>
      <c r="C5" s="29" t="s">
        <v>29</v>
      </c>
      <c r="D5" s="200"/>
      <c r="E5" s="30">
        <f>F5/8</f>
        <v>16605</v>
      </c>
      <c r="F5" s="31">
        <v>132840</v>
      </c>
      <c r="G5" s="32">
        <v>11</v>
      </c>
      <c r="H5" s="194">
        <f>F5*G5</f>
        <v>1461240</v>
      </c>
      <c r="I5" s="31"/>
      <c r="J5" s="33"/>
      <c r="K5" s="51">
        <v>0</v>
      </c>
      <c r="L5" s="34"/>
      <c r="M5" s="35">
        <f>(E5*L5)</f>
        <v>0</v>
      </c>
      <c r="N5" s="36"/>
      <c r="O5" s="35">
        <f>(E5*($O$4+1)*N5)</f>
        <v>0</v>
      </c>
      <c r="P5" s="37"/>
      <c r="Q5" s="35">
        <f>(E5*($Q$4+1)*P5)</f>
        <v>0</v>
      </c>
      <c r="R5" s="38"/>
      <c r="S5" s="35">
        <f>(E5*($S$4+1)*R5)</f>
        <v>0</v>
      </c>
      <c r="T5" s="35"/>
      <c r="U5" s="35">
        <f t="shared" ref="U5:U6" si="0">(E5*($U$4+1)*T5)</f>
        <v>0</v>
      </c>
      <c r="V5" s="38"/>
      <c r="W5" s="31">
        <f>(E5*($W$4+1)*V5)</f>
        <v>0</v>
      </c>
      <c r="X5" s="38"/>
      <c r="Y5" s="31">
        <f>(E5*($Y$4+1)*X5)</f>
        <v>0</v>
      </c>
      <c r="Z5" s="31">
        <f>H5+I5+J5+M5+O5+S5+U5+W5+Y5-K5+Q5</f>
        <v>1461240</v>
      </c>
      <c r="AA5" s="133">
        <v>28800</v>
      </c>
      <c r="AB5" s="209"/>
      <c r="AC5" s="162">
        <f>Z5+AA5-AB5</f>
        <v>1490040</v>
      </c>
      <c r="AD5" s="41"/>
      <c r="AE5" s="134">
        <v>0</v>
      </c>
      <c r="AH5" s="237">
        <f>AC5+'MAR 16 AL 31'!AG5+'MAR 01 AL 15'!AI5+'NVO HORARIO FEB 16 AL 28'!AG5</f>
        <v>2134867</v>
      </c>
    </row>
    <row r="6" spans="1:46">
      <c r="A6" s="17" t="s">
        <v>30</v>
      </c>
      <c r="B6" s="28">
        <v>6163973</v>
      </c>
      <c r="C6" s="42">
        <v>142184027</v>
      </c>
      <c r="D6" s="201"/>
      <c r="E6" s="30">
        <f>F6/8</f>
        <v>16605</v>
      </c>
      <c r="F6" s="31">
        <v>132840</v>
      </c>
      <c r="G6" s="43">
        <v>11</v>
      </c>
      <c r="H6" s="194">
        <f>G6*F6</f>
        <v>1461240</v>
      </c>
      <c r="I6" s="31"/>
      <c r="J6" s="33"/>
      <c r="K6" s="51">
        <v>0</v>
      </c>
      <c r="L6" s="38"/>
      <c r="M6" s="35">
        <f>(E6*L6)</f>
        <v>0</v>
      </c>
      <c r="N6" s="38"/>
      <c r="O6" s="35">
        <f>(E6*($O$4+1)*N6)</f>
        <v>0</v>
      </c>
      <c r="P6" s="37"/>
      <c r="Q6" s="35">
        <f t="shared" ref="Q6:Q10" si="1">(E6*($Q$4+1)*P6)</f>
        <v>0</v>
      </c>
      <c r="R6" s="38"/>
      <c r="S6" s="35">
        <f t="shared" ref="S6" si="2">(E6*($S$4+1)*R6)</f>
        <v>0</v>
      </c>
      <c r="T6" s="35"/>
      <c r="U6" s="35">
        <f t="shared" si="0"/>
        <v>0</v>
      </c>
      <c r="V6" s="38"/>
      <c r="W6" s="31">
        <f>(E6*($W$4+1)*V6)</f>
        <v>0</v>
      </c>
      <c r="X6" s="19"/>
      <c r="Y6" s="31">
        <f>(E6*($Y$4+1)*X6)</f>
        <v>0</v>
      </c>
      <c r="Z6" s="31">
        <f t="shared" ref="Z6:Z21" si="3">H6+I6+J6+M6+O6+S6+U6+W6+Y6-K6+Q6</f>
        <v>1461240</v>
      </c>
      <c r="AA6" s="41">
        <v>180000</v>
      </c>
      <c r="AB6" s="133">
        <v>100000</v>
      </c>
      <c r="AC6" s="162">
        <f>Z6+AA6-AB6</f>
        <v>1541240</v>
      </c>
      <c r="AD6" s="41"/>
      <c r="AE6" s="134">
        <v>0</v>
      </c>
      <c r="AH6" s="237">
        <f>AC6+'MAR 16 AL 31'!AG6+'MAR 01 AL 15'!AI6+'NVO HORARIO FEB 16 AL 28'!AG6</f>
        <v>2376803.5999999996</v>
      </c>
    </row>
    <row r="7" spans="1:46">
      <c r="A7" s="113" t="s">
        <v>31</v>
      </c>
      <c r="B7" s="28">
        <v>1006011966</v>
      </c>
      <c r="C7" s="207">
        <v>164461378</v>
      </c>
      <c r="D7" s="201">
        <f>B25+80000</f>
        <v>1830905</v>
      </c>
      <c r="E7" s="30">
        <f>F7/7.333</f>
        <v>8322.6737578980865</v>
      </c>
      <c r="F7" s="31">
        <f>D7/30</f>
        <v>61030.166666666664</v>
      </c>
      <c r="G7" s="43">
        <v>15</v>
      </c>
      <c r="H7" s="194">
        <f>G7*F7</f>
        <v>915452.5</v>
      </c>
      <c r="I7" s="49">
        <f>(249095/30)*G7</f>
        <v>124547.49999999999</v>
      </c>
      <c r="J7" s="50"/>
      <c r="K7" s="51">
        <f>((($B$25/2)*8%)/15)*G7</f>
        <v>70036.2</v>
      </c>
      <c r="L7" s="38"/>
      <c r="M7" s="173">
        <f>(E7*($M$4+1)*L7)</f>
        <v>0</v>
      </c>
      <c r="N7" s="19"/>
      <c r="O7" s="35">
        <f>(E7*($O$4)*N7)</f>
        <v>0</v>
      </c>
      <c r="P7" s="52"/>
      <c r="Q7" s="35">
        <f t="shared" si="1"/>
        <v>0</v>
      </c>
      <c r="R7" s="38"/>
      <c r="S7" s="35">
        <f>(E7*($S$4)*R7)</f>
        <v>0</v>
      </c>
      <c r="T7" s="35"/>
      <c r="U7" s="35">
        <f>(E7*($U$4)*T7)</f>
        <v>0</v>
      </c>
      <c r="V7" s="38"/>
      <c r="W7" s="31">
        <f>(E7*($W$4)*V7)</f>
        <v>0</v>
      </c>
      <c r="X7" s="19"/>
      <c r="Y7" s="31">
        <f>(E7*($Y$4)*X7)</f>
        <v>0</v>
      </c>
      <c r="Z7" s="31">
        <f>H7+I7+J7+M7+O7+S7+U7+W7+Y7-K7+Q7</f>
        <v>969963.8</v>
      </c>
      <c r="AA7" s="210">
        <v>127700</v>
      </c>
      <c r="AB7" s="41"/>
      <c r="AC7" s="162">
        <f>Z7+AA7-AB7</f>
        <v>1097663.8</v>
      </c>
      <c r="AD7" s="41">
        <v>0</v>
      </c>
      <c r="AE7" s="134">
        <v>0</v>
      </c>
    </row>
    <row r="8" spans="1:46">
      <c r="A8" s="113" t="s">
        <v>32</v>
      </c>
      <c r="B8" s="204">
        <v>1006172144</v>
      </c>
      <c r="C8" s="127">
        <v>445515752</v>
      </c>
      <c r="D8" s="205">
        <f>(1800000*10%)+1800000</f>
        <v>1980000</v>
      </c>
      <c r="E8" s="30">
        <f t="shared" ref="E8:E21" si="4">F8/7.333</f>
        <v>9000.4091095049771</v>
      </c>
      <c r="F8" s="31">
        <f>D8/30</f>
        <v>66000</v>
      </c>
      <c r="G8" s="43">
        <v>15</v>
      </c>
      <c r="H8" s="194">
        <f>G8*F8</f>
        <v>990000</v>
      </c>
      <c r="I8" s="49">
        <f t="shared" ref="I8:I21" si="5">(249095/30)*G8</f>
        <v>124547.49999999999</v>
      </c>
      <c r="J8" s="33"/>
      <c r="K8" s="51">
        <f>((($B$25/2)*8%)/15)*G8</f>
        <v>70036.2</v>
      </c>
      <c r="L8" s="38">
        <v>1</v>
      </c>
      <c r="M8" s="173">
        <f>(E8*($M$4+1)*L8)</f>
        <v>11250.511386881222</v>
      </c>
      <c r="N8" s="18">
        <v>0</v>
      </c>
      <c r="O8" s="35">
        <v>0</v>
      </c>
      <c r="P8" s="178">
        <v>1</v>
      </c>
      <c r="Q8" s="179">
        <f>(E8*($Q$4+1)*P8)</f>
        <v>16200.73639710896</v>
      </c>
      <c r="R8" s="216">
        <v>1</v>
      </c>
      <c r="S8" s="179">
        <f>(E8*($S$4+1)*R8)</f>
        <v>18000.818219009954</v>
      </c>
      <c r="T8" s="35"/>
      <c r="U8" s="35">
        <f t="shared" ref="U8:U22" si="6">(E8*($U$4)*T8)</f>
        <v>0</v>
      </c>
      <c r="V8" s="38"/>
      <c r="W8" s="31">
        <f>(E8*($W$4)*V8)</f>
        <v>0</v>
      </c>
      <c r="X8" s="19"/>
      <c r="Y8" s="31">
        <f>(E8*($Y$4)*X8)</f>
        <v>0</v>
      </c>
      <c r="Z8" s="31">
        <f>H8+I8+J8+M8+O8+S8+U8+Q8+W8+Y8-K8</f>
        <v>1089963.3660030002</v>
      </c>
      <c r="AA8" s="41">
        <v>14400</v>
      </c>
      <c r="AB8" s="41"/>
      <c r="AC8" s="162">
        <f>Z8+AA8-AB8</f>
        <v>1104363.3660030002</v>
      </c>
      <c r="AD8" s="41">
        <v>0</v>
      </c>
      <c r="AE8" s="134">
        <v>0</v>
      </c>
    </row>
    <row r="9" spans="1:46">
      <c r="A9" s="240" t="s">
        <v>34</v>
      </c>
      <c r="B9" s="95">
        <v>94493221</v>
      </c>
      <c r="C9" s="127">
        <v>166203299</v>
      </c>
      <c r="D9" s="206">
        <v>7000000</v>
      </c>
      <c r="E9" s="30">
        <f t="shared" si="4"/>
        <v>31819.628164916587</v>
      </c>
      <c r="F9" s="31">
        <f t="shared" ref="F9:F21" si="7">D9/30</f>
        <v>233333.33333333334</v>
      </c>
      <c r="G9" s="61">
        <v>15</v>
      </c>
      <c r="H9" s="194">
        <f>G9*F9</f>
        <v>3500000</v>
      </c>
      <c r="I9" s="49"/>
      <c r="J9" s="62"/>
      <c r="K9" s="51">
        <f>((($B$25/2)*8%)/15)*G9</f>
        <v>70036.2</v>
      </c>
      <c r="L9" s="67"/>
      <c r="M9" s="173">
        <f t="shared" ref="M9:M21" si="8">(E9*($M$4+1)*L9)</f>
        <v>0</v>
      </c>
      <c r="N9" s="69"/>
      <c r="O9" s="35">
        <f t="shared" ref="O9:O22" si="9">(E9*($O$4)*N9)</f>
        <v>0</v>
      </c>
      <c r="P9" s="70"/>
      <c r="Q9" s="35">
        <f>(E9*($Q$4+1)*P9)</f>
        <v>0</v>
      </c>
      <c r="R9" s="71"/>
      <c r="S9" s="35">
        <f t="shared" ref="S9:S22" si="10">(E9*($S$4)*R9)</f>
        <v>0</v>
      </c>
      <c r="T9" s="68"/>
      <c r="U9" s="35">
        <f t="shared" si="6"/>
        <v>0</v>
      </c>
      <c r="V9" s="67"/>
      <c r="W9" s="62">
        <f>(E9*($W$4+1)*V9)</f>
        <v>0</v>
      </c>
      <c r="X9" s="69"/>
      <c r="Y9" s="72">
        <f>(E9*($Y$4+1)*X9)</f>
        <v>0</v>
      </c>
      <c r="Z9" s="31">
        <f>H9+I9+J9+M9+O9+S9+U9+W9+Y9-K9+Q9</f>
        <v>3429963.8</v>
      </c>
      <c r="AA9" s="211"/>
      <c r="AB9" s="203"/>
      <c r="AC9" s="163">
        <f>Z9+AA9-AB9</f>
        <v>3429963.8</v>
      </c>
      <c r="AD9" s="41">
        <v>0</v>
      </c>
      <c r="AE9" s="134">
        <v>0</v>
      </c>
    </row>
    <row r="10" spans="1:46">
      <c r="A10" s="116" t="s">
        <v>38</v>
      </c>
      <c r="B10" s="28">
        <v>1007838659</v>
      </c>
      <c r="C10" s="79">
        <v>487432619</v>
      </c>
      <c r="D10" s="202">
        <f>B25</f>
        <v>1750905</v>
      </c>
      <c r="E10" s="30">
        <f t="shared" si="4"/>
        <v>7959.0208645847533</v>
      </c>
      <c r="F10" s="31">
        <f>D10/30</f>
        <v>58363.5</v>
      </c>
      <c r="G10" s="43">
        <v>15</v>
      </c>
      <c r="H10" s="195">
        <f>G10*F10</f>
        <v>875452.5</v>
      </c>
      <c r="I10" s="49">
        <f t="shared" si="5"/>
        <v>124547.49999999999</v>
      </c>
      <c r="J10" s="167"/>
      <c r="K10" s="51">
        <f>((($B$25/2)*8%)/15)*G10</f>
        <v>70036.2</v>
      </c>
      <c r="L10" s="38"/>
      <c r="M10" s="173">
        <f t="shared" si="8"/>
        <v>0</v>
      </c>
      <c r="N10" s="19"/>
      <c r="O10" s="35">
        <f t="shared" si="9"/>
        <v>0</v>
      </c>
      <c r="P10" s="81"/>
      <c r="Q10" s="35">
        <f t="shared" si="1"/>
        <v>0</v>
      </c>
      <c r="R10" s="82"/>
      <c r="S10" s="35">
        <f t="shared" si="10"/>
        <v>0</v>
      </c>
      <c r="T10" s="35"/>
      <c r="U10" s="35">
        <f t="shared" si="6"/>
        <v>0</v>
      </c>
      <c r="V10" s="38"/>
      <c r="W10" s="31">
        <f t="shared" ref="W10:W21" si="11">(E10*($W$4)*V10)</f>
        <v>0</v>
      </c>
      <c r="X10" s="19"/>
      <c r="Y10" s="31">
        <f t="shared" ref="Y10:Y21" si="12">(E10*($Y$4)*X10)</f>
        <v>0</v>
      </c>
      <c r="Z10" s="31">
        <f t="shared" si="3"/>
        <v>929963.8</v>
      </c>
      <c r="AA10" s="41">
        <v>247200</v>
      </c>
      <c r="AB10" s="41">
        <v>200000</v>
      </c>
      <c r="AC10" s="164">
        <f>Z10+AA10-AB10</f>
        <v>977163.8</v>
      </c>
      <c r="AD10" s="41">
        <v>0</v>
      </c>
      <c r="AE10" s="134">
        <v>0</v>
      </c>
    </row>
    <row r="11" spans="1:46">
      <c r="A11" s="114" t="s">
        <v>39</v>
      </c>
      <c r="B11" s="28">
        <v>1006202963</v>
      </c>
      <c r="C11" s="84" t="s">
        <v>40</v>
      </c>
      <c r="D11" s="202">
        <f>B25+50000</f>
        <v>1800905</v>
      </c>
      <c r="E11" s="30">
        <f t="shared" si="4"/>
        <v>8186.3039229055858</v>
      </c>
      <c r="F11" s="31">
        <f t="shared" si="7"/>
        <v>60030.166666666664</v>
      </c>
      <c r="G11" s="85">
        <v>15</v>
      </c>
      <c r="H11" s="195">
        <f>G11*F11</f>
        <v>900452.5</v>
      </c>
      <c r="I11" s="49">
        <f>(249095/30)*G11</f>
        <v>124547.49999999999</v>
      </c>
      <c r="J11" s="33"/>
      <c r="K11" s="166">
        <f>((($B$25/2)*8%)/15)*G11</f>
        <v>70036.2</v>
      </c>
      <c r="L11" s="87">
        <v>1</v>
      </c>
      <c r="M11" s="173">
        <f t="shared" si="8"/>
        <v>10232.879903631982</v>
      </c>
      <c r="N11" s="89"/>
      <c r="O11" s="35">
        <f t="shared" si="9"/>
        <v>0</v>
      </c>
      <c r="P11" s="52"/>
      <c r="Q11" s="35">
        <f>(E11*($Q$4+1)*P11)</f>
        <v>0</v>
      </c>
      <c r="R11" s="90"/>
      <c r="S11" s="35">
        <f t="shared" si="10"/>
        <v>0</v>
      </c>
      <c r="T11" s="88"/>
      <c r="U11" s="35">
        <f t="shared" si="6"/>
        <v>0</v>
      </c>
      <c r="V11" s="87"/>
      <c r="W11" s="60">
        <f t="shared" si="11"/>
        <v>0</v>
      </c>
      <c r="X11" s="89"/>
      <c r="Y11" s="60">
        <f t="shared" si="12"/>
        <v>0</v>
      </c>
      <c r="Z11" s="31">
        <f t="shared" si="3"/>
        <v>965196.67990363203</v>
      </c>
      <c r="AA11" s="213">
        <v>21600</v>
      </c>
      <c r="AB11" s="41"/>
      <c r="AC11" s="231">
        <f>Z11+AA11-AB11</f>
        <v>986796.67990363203</v>
      </c>
      <c r="AD11" s="41">
        <v>0</v>
      </c>
      <c r="AE11" s="134">
        <v>0</v>
      </c>
      <c r="AF11" s="109"/>
    </row>
    <row r="12" spans="1:46" ht="46.5" customHeight="1">
      <c r="A12" s="117" t="s">
        <v>44</v>
      </c>
      <c r="B12" s="28">
        <v>1018502331</v>
      </c>
      <c r="C12" s="19">
        <v>484605035</v>
      </c>
      <c r="D12" s="233">
        <f>(1800000*10%)+1800000</f>
        <v>1980000</v>
      </c>
      <c r="E12" s="30">
        <f>F12/7.333</f>
        <v>9000.4091095049771</v>
      </c>
      <c r="F12" s="31">
        <f>D12/30</f>
        <v>66000</v>
      </c>
      <c r="G12" s="85">
        <v>15</v>
      </c>
      <c r="H12" s="194">
        <f>G12*F12</f>
        <v>990000</v>
      </c>
      <c r="I12" s="49">
        <f>(249095/30)*G12</f>
        <v>124547.49999999999</v>
      </c>
      <c r="J12" s="86"/>
      <c r="K12" s="51">
        <f>((($B$25/2)*8%)/15)*G12</f>
        <v>70036.2</v>
      </c>
      <c r="L12" s="87">
        <v>2.2999999999999998</v>
      </c>
      <c r="M12" s="232">
        <f>(E12*($M$4+1)*L12)</f>
        <v>25876.176189826809</v>
      </c>
      <c r="N12" s="89"/>
      <c r="O12" s="35">
        <f>(E12*($O$4)*N12)</f>
        <v>0</v>
      </c>
      <c r="P12" s="52"/>
      <c r="Q12" s="35">
        <f>(E12*($Q$4+1)*P12)</f>
        <v>0</v>
      </c>
      <c r="R12" s="90"/>
      <c r="S12" s="35">
        <f>(E12*($S$4)*R12)</f>
        <v>0</v>
      </c>
      <c r="T12" s="88"/>
      <c r="U12" s="35">
        <f>(E12*($U$4)*T12)</f>
        <v>0</v>
      </c>
      <c r="V12" s="87"/>
      <c r="W12" s="60">
        <f>(E12*($W$4)*V12)</f>
        <v>0</v>
      </c>
      <c r="X12" s="89"/>
      <c r="Y12" s="60">
        <f>(E12*($Y$4)*X12)</f>
        <v>0</v>
      </c>
      <c r="Z12" s="31">
        <f>H12+I12+J12+M12+O12+S12+U12+W12+Y12-K12+Q12</f>
        <v>1070387.4761898268</v>
      </c>
      <c r="AA12" s="213"/>
      <c r="AB12" s="41">
        <v>300000</v>
      </c>
      <c r="AC12" s="162">
        <f>Z12+AA12-AB12</f>
        <v>770387.47618982685</v>
      </c>
      <c r="AD12" s="212">
        <v>150000</v>
      </c>
      <c r="AE12" s="180">
        <f>1190000-150000-150000-150000-150000-150000</f>
        <v>440000</v>
      </c>
      <c r="AF12" s="234" t="s">
        <v>74</v>
      </c>
      <c r="AG12" s="186"/>
    </row>
    <row r="13" spans="1:46" s="147" customFormat="1">
      <c r="A13" s="146"/>
      <c r="B13" s="28"/>
      <c r="C13" s="79"/>
      <c r="D13" s="143"/>
      <c r="E13" s="30">
        <f t="shared" si="4"/>
        <v>0</v>
      </c>
      <c r="F13" s="31"/>
      <c r="G13" s="85"/>
      <c r="H13" s="196">
        <f>SUM(H5:H11)-H9</f>
        <v>6603837.5</v>
      </c>
      <c r="I13" s="166"/>
      <c r="J13" s="51"/>
      <c r="K13" s="51"/>
      <c r="L13" s="87"/>
      <c r="M13" s="173">
        <f t="shared" si="8"/>
        <v>0</v>
      </c>
      <c r="N13" s="89"/>
      <c r="O13" s="35">
        <f t="shared" si="9"/>
        <v>0</v>
      </c>
      <c r="P13" s="37"/>
      <c r="Q13" s="101">
        <f>SUM(Q9:Q11)</f>
        <v>0</v>
      </c>
      <c r="R13" s="90"/>
      <c r="S13" s="35">
        <f t="shared" si="10"/>
        <v>0</v>
      </c>
      <c r="T13" s="88"/>
      <c r="U13" s="35">
        <f t="shared" si="6"/>
        <v>0</v>
      </c>
      <c r="V13" s="87"/>
      <c r="W13" s="60"/>
      <c r="X13" s="89"/>
      <c r="Y13" s="60"/>
      <c r="Z13" s="31"/>
      <c r="AA13" s="91"/>
      <c r="AB13" s="45"/>
      <c r="AC13" s="176">
        <f>SUM(AC5:AC12)-AC9</f>
        <v>7967655.1220964612</v>
      </c>
      <c r="AD13" s="133" t="s">
        <v>75</v>
      </c>
      <c r="AE13" s="134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</row>
    <row r="14" spans="1:46" s="147" customFormat="1">
      <c r="A14" s="146"/>
      <c r="B14" s="28"/>
      <c r="C14" s="79"/>
      <c r="D14" s="143"/>
      <c r="E14" s="30">
        <f t="shared" si="4"/>
        <v>0</v>
      </c>
      <c r="F14" s="31"/>
      <c r="G14" s="85"/>
      <c r="H14" s="197"/>
      <c r="I14" s="51"/>
      <c r="J14" s="51"/>
      <c r="K14" s="51"/>
      <c r="L14" s="87"/>
      <c r="M14" s="173">
        <f t="shared" si="8"/>
        <v>0</v>
      </c>
      <c r="N14" s="89"/>
      <c r="O14" s="35">
        <f t="shared" si="9"/>
        <v>0</v>
      </c>
      <c r="P14" s="37"/>
      <c r="Q14" s="35">
        <f t="shared" ref="Q14" si="13">(E14*($Q$4)*P14)</f>
        <v>0</v>
      </c>
      <c r="R14" s="90"/>
      <c r="S14" s="35">
        <f t="shared" si="10"/>
        <v>0</v>
      </c>
      <c r="T14" s="88"/>
      <c r="U14" s="35">
        <f t="shared" si="6"/>
        <v>0</v>
      </c>
      <c r="V14" s="87"/>
      <c r="W14" s="60"/>
      <c r="X14" s="89"/>
      <c r="Y14" s="60"/>
      <c r="Z14" s="31"/>
      <c r="AA14" s="91"/>
      <c r="AB14" s="45"/>
      <c r="AC14" s="53"/>
      <c r="AD14" s="133"/>
      <c r="AE14" s="134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</row>
    <row r="15" spans="1:46" ht="13.5" customHeight="1">
      <c r="A15" s="117" t="s">
        <v>43</v>
      </c>
      <c r="B15" s="28">
        <v>1116242414</v>
      </c>
      <c r="C15" s="79">
        <v>186736849</v>
      </c>
      <c r="D15" s="138">
        <f>(1800000*10%)+1800000</f>
        <v>1980000</v>
      </c>
      <c r="E15" s="30">
        <f t="shared" si="4"/>
        <v>9000.4091095049771</v>
      </c>
      <c r="F15" s="31">
        <f t="shared" si="7"/>
        <v>66000</v>
      </c>
      <c r="G15" s="85">
        <v>15</v>
      </c>
      <c r="H15" s="194">
        <f>G15*F15</f>
        <v>990000</v>
      </c>
      <c r="I15" s="49">
        <f t="shared" si="5"/>
        <v>124547.49999999999</v>
      </c>
      <c r="J15" s="86"/>
      <c r="K15" s="51">
        <f>((($B$25/2)*8%)/15)*G15</f>
        <v>70036.2</v>
      </c>
      <c r="L15" s="87">
        <v>4</v>
      </c>
      <c r="M15" s="173">
        <f t="shared" si="8"/>
        <v>45002.045547524889</v>
      </c>
      <c r="N15" s="89"/>
      <c r="O15" s="35">
        <f t="shared" si="9"/>
        <v>0</v>
      </c>
      <c r="P15" s="52"/>
      <c r="Q15" s="35">
        <f t="shared" ref="Q15:Q21" si="14">(E15*($Q$4+1)*P15)</f>
        <v>0</v>
      </c>
      <c r="R15" s="90"/>
      <c r="S15" s="35">
        <f t="shared" si="10"/>
        <v>0</v>
      </c>
      <c r="T15" s="88"/>
      <c r="U15" s="35">
        <f t="shared" si="6"/>
        <v>0</v>
      </c>
      <c r="V15" s="87"/>
      <c r="W15" s="60">
        <f t="shared" si="11"/>
        <v>0</v>
      </c>
      <c r="X15" s="89"/>
      <c r="Y15" s="60">
        <f t="shared" si="12"/>
        <v>0</v>
      </c>
      <c r="Z15" s="31">
        <f>H15+I15+J15+M15+O15+S15+U15+W15+Y15-K15+Q15</f>
        <v>1089513.345547525</v>
      </c>
      <c r="AA15" s="91"/>
      <c r="AB15" s="45"/>
      <c r="AC15" s="162">
        <f>Z15+AA15-AB15</f>
        <v>1089513.345547525</v>
      </c>
      <c r="AD15" s="41">
        <v>0</v>
      </c>
      <c r="AE15" s="47"/>
    </row>
    <row r="16" spans="1:46" ht="13.5" customHeight="1">
      <c r="A16" s="116" t="s">
        <v>45</v>
      </c>
      <c r="B16" s="28">
        <v>16501191</v>
      </c>
      <c r="C16" s="19">
        <v>186817789</v>
      </c>
      <c r="D16" s="144">
        <f>B25</f>
        <v>1750905</v>
      </c>
      <c r="E16" s="30">
        <f t="shared" si="4"/>
        <v>7959.0208645847533</v>
      </c>
      <c r="F16" s="31">
        <f t="shared" si="7"/>
        <v>58363.5</v>
      </c>
      <c r="G16" s="85">
        <v>15</v>
      </c>
      <c r="H16" s="194">
        <f t="shared" ref="H16:H21" si="15">G16*F16</f>
        <v>875452.5</v>
      </c>
      <c r="I16" s="49">
        <f t="shared" si="5"/>
        <v>124547.49999999999</v>
      </c>
      <c r="J16" s="94"/>
      <c r="K16" s="51">
        <f>((($B$25/2)*8%)/15)*G16</f>
        <v>70036.2</v>
      </c>
      <c r="L16" s="87">
        <v>23</v>
      </c>
      <c r="M16" s="173">
        <f t="shared" si="8"/>
        <v>228821.84985681166</v>
      </c>
      <c r="N16" s="89"/>
      <c r="O16" s="35">
        <f t="shared" si="9"/>
        <v>0</v>
      </c>
      <c r="P16" s="52"/>
      <c r="Q16" s="35">
        <f t="shared" si="14"/>
        <v>0</v>
      </c>
      <c r="R16" s="90"/>
      <c r="S16" s="35">
        <f t="shared" si="10"/>
        <v>0</v>
      </c>
      <c r="T16" s="88"/>
      <c r="U16" s="35">
        <f t="shared" si="6"/>
        <v>0</v>
      </c>
      <c r="V16" s="87"/>
      <c r="W16" s="60">
        <f t="shared" si="11"/>
        <v>0</v>
      </c>
      <c r="X16" s="89"/>
      <c r="Y16" s="60">
        <f t="shared" si="12"/>
        <v>0</v>
      </c>
      <c r="Z16" s="31">
        <f t="shared" si="3"/>
        <v>1158785.6498568116</v>
      </c>
      <c r="AA16" s="91"/>
      <c r="AB16" s="45"/>
      <c r="AC16" s="162">
        <f>Z16+AA16-AB16</f>
        <v>1158785.6498568116</v>
      </c>
      <c r="AD16" s="41">
        <v>0</v>
      </c>
      <c r="AE16" s="47"/>
    </row>
    <row r="17" spans="1:33" ht="13.5" customHeight="1">
      <c r="A17" s="116" t="s">
        <v>47</v>
      </c>
      <c r="B17" s="28">
        <v>16505237</v>
      </c>
      <c r="C17" s="19">
        <v>186817573</v>
      </c>
      <c r="D17" s="144">
        <f>B25</f>
        <v>1750905</v>
      </c>
      <c r="E17" s="30">
        <f t="shared" si="4"/>
        <v>7959.0208645847533</v>
      </c>
      <c r="F17" s="31">
        <f t="shared" si="7"/>
        <v>58363.5</v>
      </c>
      <c r="G17" s="85">
        <v>15</v>
      </c>
      <c r="H17" s="194">
        <f t="shared" si="15"/>
        <v>875452.5</v>
      </c>
      <c r="I17" s="49">
        <f t="shared" si="5"/>
        <v>124547.49999999999</v>
      </c>
      <c r="J17" s="86"/>
      <c r="K17" s="51">
        <f>((($B$25/2)*8%)/15)*G17</f>
        <v>70036.2</v>
      </c>
      <c r="L17" s="87">
        <v>16</v>
      </c>
      <c r="M17" s="173">
        <f t="shared" si="8"/>
        <v>159180.41729169508</v>
      </c>
      <c r="N17" s="89"/>
      <c r="O17" s="35">
        <f t="shared" si="9"/>
        <v>0</v>
      </c>
      <c r="P17" s="52">
        <v>3</v>
      </c>
      <c r="Q17" s="35">
        <f t="shared" si="14"/>
        <v>42978.712668757667</v>
      </c>
      <c r="R17" s="90"/>
      <c r="S17" s="35">
        <f t="shared" si="10"/>
        <v>0</v>
      </c>
      <c r="T17" s="88"/>
      <c r="U17" s="35">
        <f t="shared" si="6"/>
        <v>0</v>
      </c>
      <c r="V17" s="87"/>
      <c r="W17" s="60">
        <f t="shared" si="11"/>
        <v>0</v>
      </c>
      <c r="X17" s="89"/>
      <c r="Y17" s="60">
        <f t="shared" si="12"/>
        <v>0</v>
      </c>
      <c r="Z17" s="31">
        <f>H17+I17+J17+M17+O17+S17+U17+W17+Y17-K17+Q17</f>
        <v>1132122.9299604527</v>
      </c>
      <c r="AA17" s="91"/>
      <c r="AB17" s="45"/>
      <c r="AC17" s="162">
        <f>Z17+AA17-AB17</f>
        <v>1132122.9299604527</v>
      </c>
      <c r="AD17" s="41">
        <v>0</v>
      </c>
      <c r="AE17" s="47"/>
      <c r="AF17" s="26" t="s">
        <v>76</v>
      </c>
    </row>
    <row r="18" spans="1:33" ht="13.5" customHeight="1">
      <c r="A18" s="120" t="s">
        <v>48</v>
      </c>
      <c r="B18" s="28">
        <v>1111747391</v>
      </c>
      <c r="C18" s="219">
        <v>186817581</v>
      </c>
      <c r="D18" s="144">
        <f>(B25*C26)+B25</f>
        <v>1840201.155</v>
      </c>
      <c r="E18" s="30">
        <f t="shared" si="4"/>
        <v>8364.9309286785756</v>
      </c>
      <c r="F18" s="31">
        <f t="shared" si="7"/>
        <v>61340.038500000002</v>
      </c>
      <c r="G18" s="85">
        <v>15</v>
      </c>
      <c r="H18" s="194">
        <f>G18*F18</f>
        <v>920100.57750000001</v>
      </c>
      <c r="I18" s="49">
        <f t="shared" si="5"/>
        <v>124547.49999999999</v>
      </c>
      <c r="J18" s="86"/>
      <c r="K18" s="51">
        <f>((($B$25/2)*8%)/15)*G18</f>
        <v>70036.2</v>
      </c>
      <c r="L18" s="87">
        <v>5</v>
      </c>
      <c r="M18" s="173">
        <f t="shared" si="8"/>
        <v>52280.818304241096</v>
      </c>
      <c r="N18" s="89"/>
      <c r="O18" s="35">
        <f t="shared" si="9"/>
        <v>0</v>
      </c>
      <c r="P18" s="52"/>
      <c r="Q18" s="35">
        <f t="shared" si="14"/>
        <v>0</v>
      </c>
      <c r="R18" s="90"/>
      <c r="S18" s="35">
        <f t="shared" si="10"/>
        <v>0</v>
      </c>
      <c r="T18" s="88"/>
      <c r="U18" s="35">
        <f t="shared" si="6"/>
        <v>0</v>
      </c>
      <c r="V18" s="87"/>
      <c r="W18" s="60">
        <f t="shared" si="11"/>
        <v>0</v>
      </c>
      <c r="X18" s="89"/>
      <c r="Y18" s="60">
        <f t="shared" si="12"/>
        <v>0</v>
      </c>
      <c r="Z18" s="31">
        <f t="shared" si="3"/>
        <v>1026892.6958042411</v>
      </c>
      <c r="AA18" s="91"/>
      <c r="AB18" s="45"/>
      <c r="AC18" s="162">
        <f>Z18+AA18-AB18</f>
        <v>1026892.6958042411</v>
      </c>
      <c r="AD18" s="41">
        <v>0</v>
      </c>
      <c r="AE18" s="47"/>
    </row>
    <row r="19" spans="1:33" ht="13.5" customHeight="1">
      <c r="A19" s="116" t="s">
        <v>49</v>
      </c>
      <c r="B19" s="28">
        <v>1006188943</v>
      </c>
      <c r="C19" s="220">
        <v>186817607</v>
      </c>
      <c r="D19" s="142">
        <f>B25</f>
        <v>1750905</v>
      </c>
      <c r="E19" s="30">
        <f t="shared" si="4"/>
        <v>7959.0208645847533</v>
      </c>
      <c r="F19" s="31">
        <f t="shared" si="7"/>
        <v>58363.5</v>
      </c>
      <c r="G19" s="85">
        <v>15</v>
      </c>
      <c r="H19" s="194">
        <f t="shared" si="15"/>
        <v>875452.5</v>
      </c>
      <c r="I19" s="49">
        <f t="shared" si="5"/>
        <v>124547.49999999999</v>
      </c>
      <c r="J19" s="86"/>
      <c r="K19" s="51">
        <f>((($B$25/2)*8%)/15)*G19</f>
        <v>70036.2</v>
      </c>
      <c r="L19" s="87">
        <v>6</v>
      </c>
      <c r="M19" s="173">
        <f t="shared" si="8"/>
        <v>59692.656484385654</v>
      </c>
      <c r="N19" s="89"/>
      <c r="O19" s="35">
        <f t="shared" si="9"/>
        <v>0</v>
      </c>
      <c r="P19" s="52"/>
      <c r="Q19" s="35">
        <f t="shared" si="14"/>
        <v>0</v>
      </c>
      <c r="R19" s="90"/>
      <c r="S19" s="35">
        <f t="shared" si="10"/>
        <v>0</v>
      </c>
      <c r="T19" s="88"/>
      <c r="U19" s="35">
        <f t="shared" si="6"/>
        <v>0</v>
      </c>
      <c r="V19" s="87"/>
      <c r="W19" s="60">
        <f t="shared" si="11"/>
        <v>0</v>
      </c>
      <c r="X19" s="89"/>
      <c r="Y19" s="60">
        <f t="shared" si="12"/>
        <v>0</v>
      </c>
      <c r="Z19" s="31">
        <f t="shared" si="3"/>
        <v>989656.45648438577</v>
      </c>
      <c r="AA19" s="91"/>
      <c r="AB19" s="45"/>
      <c r="AC19" s="162">
        <f>Z19+AA19-AB19</f>
        <v>989656.45648438577</v>
      </c>
      <c r="AD19" s="41">
        <v>0</v>
      </c>
      <c r="AE19" s="47"/>
      <c r="AG19" s="76"/>
    </row>
    <row r="20" spans="1:33" ht="13.5" customHeight="1">
      <c r="A20" s="116" t="s">
        <v>50</v>
      </c>
      <c r="B20" s="95">
        <v>1006203947</v>
      </c>
      <c r="C20" s="219">
        <v>186821369</v>
      </c>
      <c r="D20" s="145">
        <f>B25</f>
        <v>1750905</v>
      </c>
      <c r="E20" s="30">
        <f t="shared" si="4"/>
        <v>7959.0208645847533</v>
      </c>
      <c r="F20" s="31">
        <f t="shared" si="7"/>
        <v>58363.5</v>
      </c>
      <c r="G20" s="85">
        <v>15</v>
      </c>
      <c r="H20" s="194">
        <f t="shared" si="15"/>
        <v>875452.5</v>
      </c>
      <c r="I20" s="49">
        <f t="shared" si="5"/>
        <v>124547.49999999999</v>
      </c>
      <c r="J20" s="86"/>
      <c r="K20" s="51">
        <f>((($B$25/2)*8%)/15)*G20</f>
        <v>70036.2</v>
      </c>
      <c r="L20" s="87">
        <v>9</v>
      </c>
      <c r="M20" s="173">
        <f t="shared" si="8"/>
        <v>89538.984726578477</v>
      </c>
      <c r="N20" s="89"/>
      <c r="O20" s="35">
        <f t="shared" si="9"/>
        <v>0</v>
      </c>
      <c r="P20" s="52"/>
      <c r="Q20" s="35">
        <f t="shared" si="14"/>
        <v>0</v>
      </c>
      <c r="R20" s="90"/>
      <c r="S20" s="35">
        <f t="shared" si="10"/>
        <v>0</v>
      </c>
      <c r="T20" s="88"/>
      <c r="U20" s="35">
        <f t="shared" si="6"/>
        <v>0</v>
      </c>
      <c r="V20" s="87"/>
      <c r="W20" s="60">
        <f t="shared" si="11"/>
        <v>0</v>
      </c>
      <c r="X20" s="89"/>
      <c r="Y20" s="60">
        <f t="shared" si="12"/>
        <v>0</v>
      </c>
      <c r="Z20" s="31">
        <f t="shared" si="3"/>
        <v>1019502.7847265785</v>
      </c>
      <c r="AA20" s="91"/>
      <c r="AB20" s="45"/>
      <c r="AC20" s="162">
        <f>Z20+AA20-AB20</f>
        <v>1019502.7847265785</v>
      </c>
      <c r="AD20" s="41">
        <v>0</v>
      </c>
      <c r="AE20" s="47"/>
      <c r="AG20" s="76"/>
    </row>
    <row r="21" spans="1:33" ht="13.5" customHeight="1">
      <c r="A21" s="119" t="s">
        <v>51</v>
      </c>
      <c r="B21" s="95">
        <v>1111814116</v>
      </c>
      <c r="C21" s="219">
        <v>186821385</v>
      </c>
      <c r="D21" s="143">
        <f>(2000000*C26)+2000000</f>
        <v>2102000</v>
      </c>
      <c r="E21" s="30">
        <f t="shared" si="4"/>
        <v>9554.9797718078098</v>
      </c>
      <c r="F21" s="131">
        <f t="shared" si="7"/>
        <v>70066.666666666672</v>
      </c>
      <c r="G21" s="85">
        <v>15</v>
      </c>
      <c r="H21" s="195">
        <f t="shared" si="15"/>
        <v>1051000</v>
      </c>
      <c r="I21" s="171">
        <f t="shared" si="5"/>
        <v>124547.49999999999</v>
      </c>
      <c r="J21" s="172"/>
      <c r="K21" s="51">
        <f>((($B$25/2)*8%)/15)*G21</f>
        <v>70036.2</v>
      </c>
      <c r="L21" s="87">
        <v>2</v>
      </c>
      <c r="M21" s="173">
        <f t="shared" si="8"/>
        <v>23887.449429519525</v>
      </c>
      <c r="N21" s="89"/>
      <c r="O21" s="35">
        <f t="shared" si="9"/>
        <v>0</v>
      </c>
      <c r="P21" s="52">
        <v>3</v>
      </c>
      <c r="Q21" s="35">
        <f t="shared" si="14"/>
        <v>51596.890767762176</v>
      </c>
      <c r="R21" s="90"/>
      <c r="S21" s="35">
        <f t="shared" si="10"/>
        <v>0</v>
      </c>
      <c r="T21" s="88">
        <v>2</v>
      </c>
      <c r="U21" s="35">
        <f>(E21*($U$4)*T21)</f>
        <v>21020.955497977182</v>
      </c>
      <c r="V21" s="87"/>
      <c r="W21" s="60">
        <f t="shared" si="11"/>
        <v>0</v>
      </c>
      <c r="X21" s="89"/>
      <c r="Y21" s="60">
        <f t="shared" si="12"/>
        <v>0</v>
      </c>
      <c r="Z21" s="31">
        <f t="shared" si="3"/>
        <v>1202016.5956952588</v>
      </c>
      <c r="AA21" s="91"/>
      <c r="AB21" s="45"/>
      <c r="AC21" s="162">
        <f>Z21+AA21-AB21</f>
        <v>1202016.5956952588</v>
      </c>
      <c r="AD21" s="41">
        <v>0</v>
      </c>
      <c r="AE21" s="47"/>
      <c r="AF21" s="217"/>
      <c r="AG21" s="76"/>
    </row>
    <row r="22" spans="1:33" s="147" customFormat="1" ht="13.5" customHeight="1">
      <c r="A22" s="146"/>
      <c r="B22" s="95"/>
      <c r="C22" s="19"/>
      <c r="D22" s="148"/>
      <c r="E22" s="149"/>
      <c r="F22" s="94"/>
      <c r="G22" s="85"/>
      <c r="H22" s="198">
        <f>SUM(H15:H21)</f>
        <v>6462910.5775000006</v>
      </c>
      <c r="I22" s="31"/>
      <c r="J22" s="31"/>
      <c r="K22" s="166"/>
      <c r="L22" s="87"/>
      <c r="M22" s="35">
        <f t="shared" ref="M22:M39" si="16">(E22*($M$4)*L22)</f>
        <v>0</v>
      </c>
      <c r="N22" s="89"/>
      <c r="O22" s="35">
        <f t="shared" si="9"/>
        <v>0</v>
      </c>
      <c r="P22" s="152"/>
      <c r="Q22" s="153"/>
      <c r="R22" s="90"/>
      <c r="S22" s="35">
        <f t="shared" si="10"/>
        <v>0</v>
      </c>
      <c r="T22" s="88"/>
      <c r="U22" s="35"/>
      <c r="V22" s="87"/>
      <c r="W22" s="60"/>
      <c r="X22" s="89"/>
      <c r="Y22" s="60"/>
      <c r="Z22" s="31"/>
      <c r="AA22" s="91"/>
      <c r="AB22" s="45"/>
      <c r="AC22" s="176">
        <f>SUM(AC15:AC21)</f>
        <v>7618490.4580752542</v>
      </c>
      <c r="AD22" s="92"/>
      <c r="AE22" s="47"/>
      <c r="AG22" s="154"/>
    </row>
    <row r="23" spans="1:33" ht="13.5" customHeight="1">
      <c r="A23" s="20" t="s">
        <v>52</v>
      </c>
      <c r="B23" s="96"/>
      <c r="C23" s="47"/>
      <c r="D23" s="126"/>
      <c r="E23" s="132">
        <f>SUM(E5:E11)</f>
        <v>98498.03581981</v>
      </c>
      <c r="F23" s="97">
        <f>SUM(F5:F21)</f>
        <v>1241297.8718333333</v>
      </c>
      <c r="G23" s="98"/>
      <c r="H23" s="199"/>
      <c r="I23" s="100">
        <f>SUM(I5:I11)</f>
        <v>498189.99999999994</v>
      </c>
      <c r="J23" s="100">
        <f>SUM(J5:J21)</f>
        <v>0</v>
      </c>
      <c r="K23" s="170">
        <f>SUM(K5:K11)</f>
        <v>350181</v>
      </c>
      <c r="L23" s="20"/>
      <c r="M23" s="100">
        <f>SUM(M15:M22)</f>
        <v>658404.22164075635</v>
      </c>
      <c r="N23" s="20"/>
      <c r="O23" s="100">
        <f>SUM(O5:O11)</f>
        <v>0</v>
      </c>
      <c r="P23" s="99"/>
      <c r="Q23" s="99">
        <f>Q13+Q22</f>
        <v>0</v>
      </c>
      <c r="R23" s="20"/>
      <c r="S23" s="101">
        <f>SUM(S5:S11)</f>
        <v>18000.818219009954</v>
      </c>
      <c r="T23" s="35"/>
      <c r="U23" s="101">
        <f>SUM(U5:U11)</f>
        <v>0</v>
      </c>
      <c r="V23" s="20"/>
      <c r="W23" s="100">
        <f>SUM(W5:W11)</f>
        <v>0</v>
      </c>
      <c r="X23" s="20"/>
      <c r="Y23" s="100">
        <f>SUM(Y5:Y11)</f>
        <v>0</v>
      </c>
      <c r="Z23" s="239">
        <f>SUM(Z5:Z21)</f>
        <v>18996409.380171712</v>
      </c>
      <c r="AA23" s="103">
        <f>SUM(AA5:AA11)</f>
        <v>619700</v>
      </c>
      <c r="AB23" s="103">
        <f>SUM(AB5:AB11)</f>
        <v>300000</v>
      </c>
      <c r="AC23" s="104">
        <f>AC13+AC22</f>
        <v>15586145.580171715</v>
      </c>
      <c r="AD23" s="58" t="s">
        <v>78</v>
      </c>
      <c r="AE23" s="105"/>
    </row>
    <row r="24" spans="1:33" ht="15">
      <c r="A24" s="247" t="s">
        <v>54</v>
      </c>
      <c r="B24" s="247"/>
      <c r="C24" s="247"/>
      <c r="D24" s="247"/>
      <c r="E24" s="247"/>
      <c r="F24" s="247"/>
      <c r="G24" s="247"/>
      <c r="H24" s="247"/>
      <c r="I24" s="247"/>
      <c r="AC24" s="154"/>
    </row>
    <row r="25" spans="1:33" ht="15">
      <c r="A25" s="21" t="s">
        <v>55</v>
      </c>
      <c r="B25" s="22">
        <v>1750905</v>
      </c>
      <c r="C25" s="135" t="s">
        <v>56</v>
      </c>
      <c r="D25" s="16"/>
      <c r="E25" s="16"/>
      <c r="F25" s="16"/>
      <c r="G25" s="16"/>
      <c r="H25" s="16"/>
      <c r="I25" s="16"/>
      <c r="AC25" s="154"/>
      <c r="AD25" s="185"/>
    </row>
    <row r="26" spans="1:33" ht="15">
      <c r="A26" s="23" t="s">
        <v>57</v>
      </c>
      <c r="B26" s="24">
        <v>249095</v>
      </c>
      <c r="C26" s="136">
        <v>5.0999999999999997E-2</v>
      </c>
      <c r="D26" s="16"/>
      <c r="E26" s="16"/>
      <c r="F26" s="16"/>
      <c r="G26" s="16"/>
      <c r="H26" s="16"/>
      <c r="I26" s="16"/>
      <c r="AC26" s="154"/>
      <c r="AE26" s="106"/>
    </row>
    <row r="27" spans="1:33" ht="15">
      <c r="A27" s="16"/>
      <c r="B27" s="16"/>
      <c r="C27" s="16"/>
      <c r="D27" s="16"/>
      <c r="E27" s="16"/>
      <c r="F27" s="16"/>
      <c r="G27" s="16"/>
      <c r="H27" s="16"/>
      <c r="I27" s="16"/>
      <c r="AC27" s="183"/>
      <c r="AE27" s="106"/>
    </row>
    <row r="28" spans="1:33" ht="29.25">
      <c r="A28" s="125" t="s">
        <v>58</v>
      </c>
      <c r="B28" s="16"/>
      <c r="C28" s="16"/>
      <c r="D28" s="16"/>
      <c r="E28" s="16"/>
      <c r="F28" s="16"/>
      <c r="G28" s="16"/>
      <c r="H28" s="16"/>
      <c r="I28" s="16"/>
      <c r="AC28" s="154"/>
      <c r="AE28" s="106"/>
      <c r="AG28" s="107"/>
    </row>
    <row r="29" spans="1:33" ht="15">
      <c r="A29" s="245" t="s">
        <v>59</v>
      </c>
      <c r="B29" s="16"/>
      <c r="C29" s="16"/>
      <c r="D29" s="16"/>
      <c r="E29" s="16"/>
      <c r="F29" s="16"/>
      <c r="G29" s="16"/>
      <c r="H29" s="16"/>
      <c r="I29" s="16"/>
      <c r="M29" s="249" t="s">
        <v>60</v>
      </c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AC29" s="147"/>
      <c r="AE29" s="106"/>
    </row>
    <row r="30" spans="1:33" ht="15">
      <c r="A30" s="245"/>
      <c r="B30" s="16"/>
      <c r="C30" s="16"/>
      <c r="D30" s="16"/>
      <c r="E30" s="16"/>
      <c r="F30" s="16"/>
      <c r="G30" s="16"/>
      <c r="H30" s="16"/>
      <c r="I30" s="16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49"/>
      <c r="Y30" s="249"/>
      <c r="AC30" s="147"/>
      <c r="AE30" s="106"/>
    </row>
    <row r="31" spans="1:33">
      <c r="A31" s="26" t="s">
        <v>83</v>
      </c>
      <c r="F31" s="108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49"/>
      <c r="Y31" s="249"/>
      <c r="AC31" s="147"/>
      <c r="AE31" s="106"/>
    </row>
    <row r="32" spans="1:33">
      <c r="M32" s="250" t="s">
        <v>61</v>
      </c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AE32" s="106"/>
    </row>
    <row r="33" spans="4:31">
      <c r="J33" s="109"/>
      <c r="AE33" s="106"/>
    </row>
    <row r="34" spans="4:31">
      <c r="F34" s="108"/>
      <c r="J34" s="109"/>
      <c r="AE34" s="106"/>
    </row>
    <row r="35" spans="4:31">
      <c r="J35" s="109"/>
      <c r="AE35" s="106"/>
    </row>
    <row r="36" spans="4:31" ht="43.5" customHeight="1">
      <c r="D36" s="248" t="s">
        <v>62</v>
      </c>
      <c r="E36" s="248"/>
      <c r="F36" s="248"/>
      <c r="G36" s="26">
        <v>8</v>
      </c>
      <c r="AE36" s="106"/>
    </row>
    <row r="37" spans="4:31">
      <c r="J37" s="109"/>
      <c r="AE37" s="106"/>
    </row>
  </sheetData>
  <mergeCells count="9">
    <mergeCell ref="D36:F36"/>
    <mergeCell ref="A1:AC1"/>
    <mergeCell ref="A2:AC2"/>
    <mergeCell ref="A3:AC3"/>
    <mergeCell ref="AD3:AE3"/>
    <mergeCell ref="A24:I24"/>
    <mergeCell ref="A29:A30"/>
    <mergeCell ref="M29:Y31"/>
    <mergeCell ref="M32:Y32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A266-5C65-42FD-AE1A-3DD6276B37E6}">
  <sheetPr>
    <pageSetUpPr fitToPage="1"/>
  </sheetPr>
  <dimension ref="B2:O25"/>
  <sheetViews>
    <sheetView workbookViewId="0">
      <selection activeCell="D3" sqref="D3"/>
    </sheetView>
  </sheetViews>
  <sheetFormatPr defaultRowHeight="15"/>
  <cols>
    <col min="2" max="2" width="36.42578125" customWidth="1"/>
    <col min="3" max="3" width="13.28515625" customWidth="1"/>
    <col min="4" max="4" width="27.28515625" bestFit="1" customWidth="1"/>
    <col min="5" max="5" width="12.140625" bestFit="1" customWidth="1"/>
    <col min="6" max="6" width="13.140625" bestFit="1" customWidth="1"/>
    <col min="8" max="8" width="13.28515625" customWidth="1"/>
    <col min="9" max="9" width="12.7109375" bestFit="1" customWidth="1"/>
    <col min="10" max="10" width="14.5703125" customWidth="1"/>
    <col min="11" max="11" width="14.7109375" customWidth="1"/>
    <col min="15" max="15" width="15.85546875" customWidth="1"/>
  </cols>
  <sheetData>
    <row r="2" spans="2:15" ht="63">
      <c r="B2" s="2" t="s">
        <v>4</v>
      </c>
      <c r="C2" s="110" t="s">
        <v>9</v>
      </c>
      <c r="D2" s="123" t="s">
        <v>85</v>
      </c>
      <c r="E2" s="124" t="s">
        <v>86</v>
      </c>
      <c r="H2" s="2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</row>
    <row r="3" spans="2:15" ht="25.5">
      <c r="B3" s="17" t="s">
        <v>28</v>
      </c>
      <c r="C3" s="111">
        <v>90000</v>
      </c>
      <c r="D3" s="122">
        <f>C3*23%</f>
        <v>20700</v>
      </c>
      <c r="E3" s="121">
        <f>D3+C3</f>
        <v>110700</v>
      </c>
      <c r="H3" s="17" t="s">
        <v>28</v>
      </c>
      <c r="I3" s="28">
        <v>94558569</v>
      </c>
      <c r="J3" s="29" t="s">
        <v>29</v>
      </c>
      <c r="K3" s="130">
        <f>M3*26</f>
        <v>2878200</v>
      </c>
      <c r="L3" s="30">
        <f>M3/8</f>
        <v>13837.5</v>
      </c>
      <c r="M3" s="31">
        <v>110700</v>
      </c>
      <c r="N3" s="32">
        <v>10</v>
      </c>
      <c r="O3" s="44">
        <f>M3*N3</f>
        <v>1107000</v>
      </c>
    </row>
    <row r="4" spans="2:15">
      <c r="B4" s="17" t="s">
        <v>30</v>
      </c>
      <c r="C4" s="111">
        <v>90000</v>
      </c>
      <c r="D4" s="122">
        <f t="shared" ref="D4:D20" si="0">C4*23%</f>
        <v>20700</v>
      </c>
      <c r="E4" s="121">
        <f t="shared" ref="E4:E20" si="1">D4+C4</f>
        <v>110700</v>
      </c>
      <c r="H4" s="17" t="s">
        <v>30</v>
      </c>
      <c r="I4" s="28">
        <v>6163973</v>
      </c>
      <c r="J4" s="42">
        <v>142184027</v>
      </c>
      <c r="K4" s="130">
        <f>M4*26</f>
        <v>2878200</v>
      </c>
      <c r="L4" s="30">
        <f>M4/8</f>
        <v>13837.5</v>
      </c>
      <c r="M4" s="31">
        <v>110700</v>
      </c>
      <c r="N4" s="43">
        <v>11</v>
      </c>
      <c r="O4" s="44">
        <f>N4*M4</f>
        <v>1217700</v>
      </c>
    </row>
    <row r="5" spans="2:15">
      <c r="B5" s="113" t="s">
        <v>31</v>
      </c>
      <c r="C5" s="111">
        <f>1523500/30</f>
        <v>50783.333333333336</v>
      </c>
      <c r="D5" s="122">
        <f t="shared" si="0"/>
        <v>11680.166666666668</v>
      </c>
      <c r="E5" s="121">
        <f t="shared" si="1"/>
        <v>62463.5</v>
      </c>
    </row>
    <row r="6" spans="2:15">
      <c r="B6" s="113" t="s">
        <v>32</v>
      </c>
      <c r="C6" s="111">
        <f>1523500/30</f>
        <v>50783.333333333336</v>
      </c>
      <c r="D6" s="122">
        <f t="shared" si="0"/>
        <v>11680.166666666668</v>
      </c>
      <c r="E6" s="121">
        <f t="shared" si="1"/>
        <v>62463.5</v>
      </c>
    </row>
    <row r="7" spans="2:15" hidden="1">
      <c r="B7" s="115" t="s">
        <v>33</v>
      </c>
      <c r="C7" s="112">
        <f>1423500/30</f>
        <v>47450</v>
      </c>
      <c r="D7" s="122">
        <f t="shared" si="0"/>
        <v>10913.5</v>
      </c>
      <c r="E7" s="121">
        <f t="shared" si="1"/>
        <v>58363.5</v>
      </c>
    </row>
    <row r="8" spans="2:15" hidden="1">
      <c r="B8" s="118" t="s">
        <v>34</v>
      </c>
      <c r="C8" s="112">
        <f>3000000/30</f>
        <v>100000</v>
      </c>
      <c r="D8" s="122">
        <f t="shared" si="0"/>
        <v>23000</v>
      </c>
      <c r="E8" s="121">
        <f t="shared" si="1"/>
        <v>123000</v>
      </c>
      <c r="H8" s="244" t="s">
        <v>87</v>
      </c>
      <c r="I8" s="244" t="s">
        <v>88</v>
      </c>
      <c r="J8" s="244" t="s">
        <v>89</v>
      </c>
    </row>
    <row r="9" spans="2:15" hidden="1">
      <c r="B9" s="113" t="s">
        <v>35</v>
      </c>
      <c r="C9" s="111">
        <f>1523500/30</f>
        <v>50783.333333333336</v>
      </c>
      <c r="D9" s="122">
        <f t="shared" si="0"/>
        <v>11680.166666666668</v>
      </c>
      <c r="E9" s="121">
        <f t="shared" si="1"/>
        <v>62463.5</v>
      </c>
      <c r="H9" s="243">
        <f>(1800000*10%)+1800000</f>
        <v>1980000</v>
      </c>
      <c r="I9" s="241">
        <v>249045</v>
      </c>
      <c r="J9" s="242">
        <f>H9+I9</f>
        <v>2229045</v>
      </c>
    </row>
    <row r="10" spans="2:15" hidden="1">
      <c r="B10" s="113" t="s">
        <v>36</v>
      </c>
      <c r="C10" s="111">
        <f>1523500/30</f>
        <v>50783.333333333336</v>
      </c>
      <c r="D10" s="122">
        <f t="shared" si="0"/>
        <v>11680.166666666668</v>
      </c>
      <c r="E10" s="121">
        <f t="shared" si="1"/>
        <v>62463.5</v>
      </c>
    </row>
    <row r="11" spans="2:15">
      <c r="B11" s="116" t="s">
        <v>38</v>
      </c>
      <c r="C11" s="112">
        <f>1423500/30</f>
        <v>47450</v>
      </c>
      <c r="D11" s="122">
        <f t="shared" si="0"/>
        <v>10913.5</v>
      </c>
      <c r="E11" s="121">
        <f t="shared" si="1"/>
        <v>58363.5</v>
      </c>
    </row>
    <row r="12" spans="2:15">
      <c r="B12" s="114" t="s">
        <v>39</v>
      </c>
      <c r="C12" s="111">
        <f>1523500/30</f>
        <v>50783.333333333336</v>
      </c>
      <c r="D12" s="122">
        <f t="shared" si="0"/>
        <v>11680.166666666668</v>
      </c>
      <c r="E12" s="121">
        <f t="shared" si="1"/>
        <v>62463.5</v>
      </c>
    </row>
    <row r="13" spans="2:15">
      <c r="B13" s="117" t="s">
        <v>43</v>
      </c>
      <c r="C13" s="112">
        <f>1800000/30</f>
        <v>60000</v>
      </c>
      <c r="D13" s="122">
        <f t="shared" si="0"/>
        <v>13800</v>
      </c>
      <c r="E13" s="121">
        <f t="shared" si="1"/>
        <v>73800</v>
      </c>
    </row>
    <row r="14" spans="2:15">
      <c r="B14" s="117" t="s">
        <v>44</v>
      </c>
      <c r="C14" s="112">
        <f>1800000/30</f>
        <v>60000</v>
      </c>
      <c r="D14" s="122">
        <f t="shared" si="0"/>
        <v>13800</v>
      </c>
      <c r="E14" s="121">
        <f t="shared" si="1"/>
        <v>73800</v>
      </c>
    </row>
    <row r="15" spans="2:15">
      <c r="B15" s="116" t="s">
        <v>45</v>
      </c>
      <c r="C15" s="112">
        <f>1423500/30</f>
        <v>47450</v>
      </c>
      <c r="D15" s="122">
        <f t="shared" si="0"/>
        <v>10913.5</v>
      </c>
      <c r="E15" s="121">
        <f t="shared" si="1"/>
        <v>58363.5</v>
      </c>
    </row>
    <row r="16" spans="2:15">
      <c r="B16" s="116" t="s">
        <v>47</v>
      </c>
      <c r="C16" s="112">
        <f>1423500/30</f>
        <v>47450</v>
      </c>
      <c r="D16" s="122">
        <f t="shared" si="0"/>
        <v>10913.5</v>
      </c>
      <c r="E16" s="121">
        <f t="shared" si="1"/>
        <v>58363.5</v>
      </c>
    </row>
    <row r="17" spans="2:6">
      <c r="B17" s="120" t="s">
        <v>48</v>
      </c>
      <c r="C17" s="112">
        <f>1700000/30</f>
        <v>56666.666666666664</v>
      </c>
      <c r="D17" s="122">
        <f t="shared" si="0"/>
        <v>13033.333333333334</v>
      </c>
      <c r="E17" s="121">
        <f t="shared" si="1"/>
        <v>69700</v>
      </c>
    </row>
    <row r="18" spans="2:6">
      <c r="B18" s="116" t="s">
        <v>49</v>
      </c>
      <c r="C18" s="112">
        <f>1423500/30</f>
        <v>47450</v>
      </c>
      <c r="D18" s="122">
        <f t="shared" si="0"/>
        <v>10913.5</v>
      </c>
      <c r="E18" s="121">
        <f t="shared" si="1"/>
        <v>58363.5</v>
      </c>
    </row>
    <row r="19" spans="2:6">
      <c r="B19" s="116" t="s">
        <v>50</v>
      </c>
      <c r="C19" s="112">
        <f>1423500/30</f>
        <v>47450</v>
      </c>
      <c r="D19" s="122">
        <f t="shared" si="0"/>
        <v>10913.5</v>
      </c>
      <c r="E19" s="121">
        <f t="shared" si="1"/>
        <v>58363.5</v>
      </c>
    </row>
    <row r="20" spans="2:6">
      <c r="B20" s="119" t="s">
        <v>51</v>
      </c>
      <c r="C20" s="112">
        <f>2000000/30</f>
        <v>66666.666666666672</v>
      </c>
      <c r="D20" s="122">
        <f t="shared" si="0"/>
        <v>15333.333333333336</v>
      </c>
      <c r="E20" s="121">
        <f t="shared" si="1"/>
        <v>82000</v>
      </c>
    </row>
    <row r="21" spans="2:6">
      <c r="E21" s="1">
        <f>SUM(E3:E20)</f>
        <v>1306198.5</v>
      </c>
      <c r="F21" s="1"/>
    </row>
    <row r="23" spans="2:6" ht="29.25">
      <c r="B23" s="125" t="s">
        <v>58</v>
      </c>
    </row>
    <row r="24" spans="2:6">
      <c r="B24" s="245" t="s">
        <v>59</v>
      </c>
    </row>
    <row r="25" spans="2:6">
      <c r="B25" s="245"/>
    </row>
  </sheetData>
  <mergeCells count="1">
    <mergeCell ref="B24:B25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ALFAMONTAJES Y CUBIERTAS S.A.S</cp:lastModifiedBy>
  <cp:revision/>
  <dcterms:created xsi:type="dcterms:W3CDTF">2026-01-07T19:47:43Z</dcterms:created>
  <dcterms:modified xsi:type="dcterms:W3CDTF">2026-05-08T16:24:10Z</dcterms:modified>
  <cp:category/>
  <cp:contentStatus/>
</cp:coreProperties>
</file>